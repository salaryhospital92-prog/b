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e7f0542cb745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لوحة الإدارة" sheetId="1" r:id="Rd1e2d42dbe474703"/>
    <x:sheet xmlns:r="http://schemas.openxmlformats.org/officeDocument/2006/relationships" name="التشغيل اليومي" sheetId="2" r:id="Ra0964671d47344b9"/>
    <x:sheet xmlns:r="http://schemas.openxmlformats.org/officeDocument/2006/relationships" name="الأطباء" sheetId="3" r:id="R42bc24e1bcc9460e"/>
    <x:sheet xmlns:r="http://schemas.openxmlformats.org/officeDocument/2006/relationships" name="المالية" sheetId="4" r:id="R25f851d213634618"/>
  </x:sheets>
</x:workbook>
</file>

<file path=xl/comments1.xml><?xml version="1.0" encoding="utf-8"?>
<x:comments xmlns:x="http://schemas.openxmlformats.org/spreadsheetml/2006/main">
  <x:authors>
    <x:author>tc={BEEE3A2D-5DC5-A603-E4D5-87109956A852}</x:author>
  </x:authors>
  <x:commentList>
    <x:comment ref="A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المصدر: لوحة الإدارة في نظام البياتي | الفترة: آب 2026 | هذه نسخة تجريبية أُنشئت للاستعراض الإداري.</x:t>
        </x:r>
      </x:text>
    </x:comment>
  </x:commentList>
</x:comments>
</file>

<file path=xl/comments2.xml><?xml version="1.0" encoding="utf-8"?>
<x:comments xmlns:x="http://schemas.openxmlformats.org/spreadsheetml/2006/main">
  <x:authors>
    <x:author>tc={B9EC5216-99C4-8D94-6AFD-BD9ED17C1BD7}</x:author>
  </x:authors>
  <x:commentList>
    <x:comment ref="A3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http://localhost:3000/ | Report API: http://localhost:3000/api/reports?period=monthly&amp;date=2026-08-11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#,##0 &quot;د.ع&quot;"/>
    <x:numFmt numFmtId="203" formatCode="0.0%"/>
  </x:numFmts>
  <x:fonts count="17">
    <x:font>
      <x:sz val="11"/>
      <x:name val="Carlito"/>
    </x:font>
    <x:font>
      <x:sz val="11"/>
      <x:color rgb="FF173D34"/>
      <x:name val="Arial"/>
    </x:font>
    <x:font>
      <x:b/>
      <x:sz val="20"/>
      <x:color rgb="FFFFFFFF"/>
      <x:name val="Arial"/>
    </x:font>
    <x:font>
      <x:sz val="10"/>
      <x:color rgb="FFC5DDD4"/>
      <x:name val="Arial"/>
    </x:font>
    <x:font>
      <x:b/>
      <x:sz val="9"/>
      <x:color rgb="FF073F36"/>
      <x:name val="Arial"/>
    </x:font>
    <x:font>
      <x:b/>
      <x:sz val="10"/>
      <x:color rgb="FFFFFFFF"/>
      <x:name val="Arial"/>
    </x:font>
    <x:font>
      <x:sz val="10"/>
      <x:color rgb="FF173D34"/>
      <x:name val="Arial"/>
    </x:font>
    <x:font>
      <x:b/>
      <x:sz val="10"/>
      <x:color rgb="FF073F36"/>
      <x:name val="Arial"/>
    </x:font>
    <x:font>
      <x:b/>
      <x:sz val="11"/>
      <x:color rgb="FF073F36"/>
      <x:name val="Arial"/>
    </x:font>
    <x:font>
      <x:b/>
      <x:sz val="11"/>
      <x:color rgb="FF80611F"/>
      <x:name val="Arial"/>
    </x:font>
    <x:font>
      <x:b/>
      <x:sz val="11"/>
      <x:color rgb="FFFFFFFF"/>
      <x:name val="Arial"/>
    </x:font>
    <x:font>
      <x:i/>
      <x:sz val="9"/>
      <x:color rgb="FF657B74"/>
      <x:name val="Arial"/>
    </x:font>
    <x:font>
      <x:b/>
      <x:sz val="10"/>
      <x:color rgb="FF657B74"/>
      <x:name val="Arial"/>
    </x:font>
    <x:font>
      <x:b/>
      <x:sz val="20"/>
      <x:color rgb="FF073F36"/>
      <x:name val="Arial"/>
    </x:font>
    <x:font>
      <x:b/>
      <x:sz val="14"/>
      <x:color rgb="FF073F36"/>
      <x:name val="Arial"/>
    </x:font>
    <x:font>
      <x:b/>
      <x:sz val="10"/>
      <x:color rgb="FF80611F"/>
      <x:name val="Arial"/>
    </x:font>
    <x:font>
      <x:sz val="11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73F36"/>
      </x:patternFill>
    </x:fill>
    <x:fill>
      <x:patternFill patternType="solid">
        <x:fgColor rgb="FFE5F3ED"/>
      </x:patternFill>
    </x:fill>
    <x:fill>
      <x:patternFill patternType="solid">
        <x:fgColor rgb="FF0B6655"/>
      </x:patternFill>
    </x:fill>
    <x:fill>
      <x:patternFill patternType="solid">
        <x:fgColor rgb="FFF6E8C3"/>
      </x:patternFill>
    </x:fill>
    <x:fill>
      <x:patternFill patternType="solid">
        <x:fgColor rgb="FFF5F8F6"/>
      </x:patternFill>
    </x:fill>
    <x:fill>
      <x:patternFill patternType="solid">
        <x:fgColor rgb="FFFFFFFF"/>
      </x:patternFill>
    </x:fill>
  </x:fills>
  <x:borders count="14">
    <x:border/>
    <x:border>
      <x:left style="thin">
        <x:color rgb="FF073F36"/>
      </x:left>
      <x:top style="thin">
        <x:color rgb="FF073F36"/>
      </x:top>
      <x:bottom style="thin">
        <x:color rgb="FF073F36"/>
      </x:bottom>
    </x:border>
    <x:border>
      <x:top style="thin">
        <x:color rgb="FF073F36"/>
      </x:top>
      <x:bottom style="thin">
        <x:color rgb="FF073F36"/>
      </x:bottom>
    </x:border>
    <x:border>
      <x:right style="thin">
        <x:color rgb="FF073F36"/>
      </x:right>
      <x:top style="thin">
        <x:color rgb="FF073F36"/>
      </x:top>
      <x:bottom style="thin">
        <x:color rgb="FF073F36"/>
      </x:bottom>
    </x:border>
    <x:border>
      <x:bottom style="thin">
        <x:color rgb="FFD5E3DD"/>
      </x:bottom>
    </x:border>
    <x:border>
      <x:top style="thin">
        <x:color rgb="FFD5E3DD"/>
      </x:top>
      <x:bottom style="thin">
        <x:color rgb="FFD5E3DD"/>
      </x:bottom>
    </x:border>
    <x:border>
      <x:top style="thin">
        <x:color rgb="FFD5E3DD"/>
      </x:top>
    </x:border>
    <x:border>
      <x:bottom style="double">
        <x:color rgb="FF0B6655"/>
      </x:bottom>
    </x:border>
    <x:border>
      <x:left style="thin">
        <x:color rgb="FFD5E3DD"/>
      </x:left>
      <x:top style="thin">
        <x:color rgb="FFD5E3DD"/>
      </x:top>
    </x:border>
    <x:border>
      <x:right style="thin">
        <x:color rgb="FFD5E3DD"/>
      </x:right>
      <x:top style="thin">
        <x:color rgb="FFD5E3DD"/>
      </x:top>
    </x:border>
    <x:border>
      <x:left style="thin">
        <x:color rgb="FFD5E3DD"/>
      </x:left>
    </x:border>
    <x:border>
      <x:right style="thin">
        <x:color rgb="FFD5E3DD"/>
      </x:right>
    </x:border>
    <x:border>
      <x:left style="thin">
        <x:color rgb="FFD5E3DD"/>
      </x:left>
      <x:bottom style="thin">
        <x:color rgb="FFD5E3DD"/>
      </x:bottom>
    </x:border>
    <x:border>
      <x:right style="thin">
        <x:color rgb="FFD5E3DD"/>
      </x:right>
      <x:bottom style="thin">
        <x:color rgb="FFD5E3DD"/>
      </x:bottom>
    </x:border>
  </x:borders>
  <x:cellStyleXfs count="1">
    <x:xf numFmtId="0" fontId="0" fillId="0" borderId="0"/>
  </x:cellStyleXfs>
  <x:cellXfs count="18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right"/>
    </x:xf>
    <x:xf numFmtId="0" fontId="2" fillId="2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right"/>
    </x:xf>
    <x:xf numFmtId="0" fontId="3" fillId="2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right"/>
    </x:xf>
    <x:xf numFmtId="0" fontId="4" fillId="3" borderId="0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2" xfId="0" applyNumberFormat="1" applyFont="1" applyFill="1" applyBorder="1" applyAlignment="1">
      <x:alignment horizontal="center" wrapText="1"/>
    </x:xf>
    <x:xf numFmtId="0" fontId="5" fillId="4" borderId="3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4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200" fontId="6" fillId="0" borderId="4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  <x:xf numFmtId="201" fontId="6" fillId="0" borderId="4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center"/>
    </x:xf>
    <x:xf numFmtId="201" fontId="6" fillId="0" borderId="6" xfId="0" applyNumberFormat="1" applyFont="1" applyFill="1" applyBorder="1" applyAlignment="1">
      <x:alignment vertical="center"/>
    </x:xf>
    <x:xf numFmtId="202" fontId="6" fillId="0" borderId="4" xfId="0" applyNumberFormat="1" applyFont="1" applyFill="1" applyBorder="1" applyAlignment="1">
      <x:alignment vertical="center"/>
    </x:xf>
    <x:xf numFmtId="202" fontId="6" fillId="0" borderId="5" xfId="0" applyNumberFormat="1" applyFont="1" applyFill="1" applyBorder="1" applyAlignment="1">
      <x:alignment vertical="center"/>
    </x:xf>
    <x:xf numFmtId="202" fontId="6" fillId="0" borderId="6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7" xfId="0" applyNumberFormat="1" applyFont="1" applyFill="1" applyBorder="1"/>
    <x:xf numFmtId="202" fontId="7" fillId="3" borderId="7" xfId="0" applyNumberFormat="1" applyFont="1" applyFill="1" applyBorder="1"/>
    <x:xf numFmtId="203" fontId="6" fillId="0" borderId="4" xfId="0" applyNumberFormat="1" applyFont="1" applyFill="1" applyBorder="1" applyAlignment="1">
      <x:alignment vertical="center"/>
    </x:xf>
    <x:xf numFmtId="203" fontId="6" fillId="0" borderId="5" xfId="0" applyNumberFormat="1" applyFont="1" applyFill="1" applyBorder="1" applyAlignment="1">
      <x:alignment vertical="center"/>
    </x:xf>
    <x:xf numFmtId="203" fontId="6" fillId="0" borderId="6" xfId="0" applyNumberFormat="1" applyFont="1" applyFill="1" applyBorder="1" applyAlignment="1">
      <x:alignment vertical="center"/>
    </x:xf>
    <x:xf numFmtId="203" fontId="7" fillId="3" borderId="7" xfId="0" applyNumberFormat="1" applyFont="1" applyFill="1" applyBorder="1"/>
    <x:xf numFmtId="0" fontId="5" fillId="4" borderId="0" xfId="0" applyNumberFormat="1" applyFont="1" applyFill="1" applyBorder="1" applyAlignment="1">
      <x:alignment horizontal="right"/>
    </x:xf>
    <x:xf numFmtId="0" fontId="5" fillId="4" borderId="0" xfId="0" applyNumberFormat="1" applyFont="1" applyFill="1" applyBorder="1" applyAlignment="1">
      <x:alignment horizontal="right" vertical="center"/>
    </x:xf>
    <x:xf numFmtId="0" fontId="8" fillId="3" borderId="0" xfId="0" applyNumberFormat="1" applyFont="1" applyFill="1" applyBorder="1"/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3" borderId="5" xfId="0" applyNumberFormat="1" applyFont="1" applyFill="1" applyBorder="1"/>
    <x:xf numFmtId="0" fontId="8" fillId="3" borderId="5" xfId="0" applyNumberFormat="1" applyFont="1" applyFill="1" applyBorder="1"/>
    <x:xf numFmtId="202" fontId="8" fillId="3" borderId="0" xfId="0" applyNumberFormat="1" applyFont="1" applyFill="1" applyBorder="1"/>
    <x:xf numFmtId="202" fontId="0" fillId="0" borderId="0" xfId="0" applyNumberFormat="1" applyFont="1" applyFill="1" applyBorder="1"/>
    <x:xf numFmtId="202" fontId="5" fillId="4" borderId="0" xfId="0" applyNumberFormat="1" applyFont="1" applyFill="1" applyBorder="1" applyAlignment="1">
      <x:alignment horizontal="right" vertical="center"/>
    </x:xf>
    <x:xf numFmtId="202" fontId="5" fillId="4" borderId="3" xfId="0" applyNumberFormat="1" applyFont="1" applyFill="1" applyBorder="1" applyAlignment="1">
      <x:alignment horizontal="center" vertical="center" wrapText="1"/>
    </x:xf>
    <x:xf numFmtId="202" fontId="9" fillId="5" borderId="0" xfId="0" applyNumberFormat="1" applyFont="1" applyFill="1" applyBorder="1"/>
    <x:xf numFmtId="202" fontId="6" fillId="6" borderId="4" xfId="0" applyNumberFormat="1" applyFont="1" applyFill="1" applyBorder="1"/>
    <x:xf numFmtId="202" fontId="6" fillId="6" borderId="5" xfId="0" applyNumberFormat="1" applyFont="1" applyFill="1" applyBorder="1"/>
    <x:xf numFmtId="202" fontId="8" fillId="3" borderId="5" xfId="0" applyNumberFormat="1" applyFont="1" applyFill="1" applyBorder="1"/>
    <x:xf numFmtId="203" fontId="6" fillId="6" borderId="6" xfId="0" applyNumberFormat="1" applyFont="1" applyFill="1" applyBorder="1"/>
    <x:xf numFmtId="0" fontId="0" fillId="2" borderId="0" xfId="0" applyNumberFormat="1" applyFont="1" applyFill="1" applyBorder="1"/>
    <x:xf numFmtId="0" fontId="10" fillId="2" borderId="0" xfId="0" applyNumberFormat="1" applyFont="1" applyFill="1" applyBorder="1"/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horizontal="right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8" xfId="0" applyNumberFormat="1" applyFont="1" applyFill="1" applyBorder="1"/>
    <x:xf numFmtId="0" fontId="1" fillId="7" borderId="6" xfId="0" applyNumberFormat="1" applyFont="1" applyFill="1" applyBorder="1"/>
    <x:xf numFmtId="0" fontId="1" fillId="7" borderId="9" xfId="0" applyNumberFormat="1" applyFont="1" applyFill="1" applyBorder="1"/>
    <x:xf numFmtId="0" fontId="1" fillId="7" borderId="10" xfId="0" applyNumberFormat="1" applyFont="1" applyFill="1" applyBorder="1"/>
    <x:xf numFmtId="0" fontId="1" fillId="7" borderId="11" xfId="0" applyNumberFormat="1" applyFont="1" applyFill="1" applyBorder="1"/>
    <x:xf numFmtId="0" fontId="1" fillId="7" borderId="12" xfId="0" applyNumberFormat="1" applyFont="1" applyFill="1" applyBorder="1"/>
    <x:xf numFmtId="0" fontId="1" fillId="7" borderId="4" xfId="0" applyNumberFormat="1" applyFont="1" applyFill="1" applyBorder="1"/>
    <x:xf numFmtId="0" fontId="1" fillId="7" borderId="13" xfId="0" applyNumberFormat="1" applyFont="1" applyFill="1" applyBorder="1"/>
    <x:xf numFmtId="0" fontId="12" fillId="7" borderId="8" xfId="0" applyNumberFormat="1" applyFont="1" applyFill="1" applyBorder="1"/>
    <x:xf numFmtId="0" fontId="12" fillId="7" borderId="6" xfId="0" applyNumberFormat="1" applyFont="1" applyFill="1" applyBorder="1"/>
    <x:xf numFmtId="0" fontId="12" fillId="7" borderId="9" xfId="0" applyNumberFormat="1" applyFont="1" applyFill="1" applyBorder="1"/>
    <x:xf numFmtId="0" fontId="12" fillId="7" borderId="8" xfId="0" applyNumberFormat="1" applyFont="1" applyFill="1" applyBorder="1" applyAlignment="1">
      <x:alignment horizontal="right"/>
    </x:xf>
    <x:xf numFmtId="0" fontId="12" fillId="7" borderId="6" xfId="0" applyNumberFormat="1" applyFont="1" applyFill="1" applyBorder="1" applyAlignment="1">
      <x:alignment horizontal="right"/>
    </x:xf>
    <x:xf numFmtId="0" fontId="12" fillId="7" borderId="9" xfId="0" applyNumberFormat="1" applyFont="1" applyFill="1" applyBorder="1" applyAlignment="1">
      <x:alignment horizontal="right"/>
    </x:xf>
    <x:xf numFmtId="0" fontId="12" fillId="7" borderId="8" xfId="0" applyNumberFormat="1" applyFont="1" applyFill="1" applyBorder="1" applyAlignment="1">
      <x:alignment horizontal="right" vertical="center"/>
    </x:xf>
    <x:xf numFmtId="0" fontId="12" fillId="7" borderId="6" xfId="0" applyNumberFormat="1" applyFont="1" applyFill="1" applyBorder="1" applyAlignment="1">
      <x:alignment horizontal="right" vertical="center"/>
    </x:xf>
    <x:xf numFmtId="0" fontId="12" fillId="7" borderId="9" xfId="0" applyNumberFormat="1" applyFont="1" applyFill="1" applyBorder="1" applyAlignment="1">
      <x:alignment horizontal="right" vertical="center"/>
    </x:xf>
    <x:xf numFmtId="0" fontId="13" fillId="7" borderId="10" xfId="0" applyNumberFormat="1" applyFont="1" applyFill="1" applyBorder="1"/>
    <x:xf numFmtId="0" fontId="13" fillId="7" borderId="0" xfId="0" applyNumberFormat="1" applyFont="1" applyFill="1" applyBorder="1"/>
    <x:xf numFmtId="0" fontId="13" fillId="7" borderId="11" xfId="0" applyNumberFormat="1" applyFont="1" applyFill="1" applyBorder="1"/>
    <x:xf numFmtId="0" fontId="13" fillId="7" borderId="12" xfId="0" applyNumberFormat="1" applyFont="1" applyFill="1" applyBorder="1"/>
    <x:xf numFmtId="0" fontId="13" fillId="7" borderId="4" xfId="0" applyNumberFormat="1" applyFont="1" applyFill="1" applyBorder="1"/>
    <x:xf numFmtId="0" fontId="13" fillId="7" borderId="13" xfId="0" applyNumberFormat="1" applyFont="1" applyFill="1" applyBorder="1"/>
    <x:xf numFmtId="201" fontId="13" fillId="7" borderId="10" xfId="0" applyNumberFormat="1" applyFont="1" applyFill="1" applyBorder="1"/>
    <x:xf numFmtId="201" fontId="13" fillId="7" borderId="0" xfId="0" applyNumberFormat="1" applyFont="1" applyFill="1" applyBorder="1"/>
    <x:xf numFmtId="201" fontId="13" fillId="7" borderId="11" xfId="0" applyNumberFormat="1" applyFont="1" applyFill="1" applyBorder="1"/>
    <x:xf numFmtId="201" fontId="13" fillId="7" borderId="12" xfId="0" applyNumberFormat="1" applyFont="1" applyFill="1" applyBorder="1"/>
    <x:xf numFmtId="201" fontId="13" fillId="7" borderId="4" xfId="0" applyNumberFormat="1" applyFont="1" applyFill="1" applyBorder="1"/>
    <x:xf numFmtId="201" fontId="13" fillId="7" borderId="13" xfId="0" applyNumberFormat="1" applyFont="1" applyFill="1" applyBorder="1"/>
    <x:xf numFmtId="201" fontId="13" fillId="7" borderId="10" xfId="0" applyNumberFormat="1" applyFont="1" applyFill="1" applyBorder="1" applyAlignment="1">
      <x:alignment wrapText="0"/>
    </x:xf>
    <x:xf numFmtId="201" fontId="13" fillId="7" borderId="0" xfId="0" applyNumberFormat="1" applyFont="1" applyFill="1" applyBorder="1" applyAlignment="1">
      <x:alignment wrapText="0"/>
    </x:xf>
    <x:xf numFmtId="201" fontId="13" fillId="7" borderId="11" xfId="0" applyNumberFormat="1" applyFont="1" applyFill="1" applyBorder="1" applyAlignment="1">
      <x:alignment wrapText="0"/>
    </x:xf>
    <x:xf numFmtId="201" fontId="13" fillId="7" borderId="12" xfId="0" applyNumberFormat="1" applyFont="1" applyFill="1" applyBorder="1" applyAlignment="1">
      <x:alignment wrapText="0"/>
    </x:xf>
    <x:xf numFmtId="201" fontId="13" fillId="7" borderId="4" xfId="0" applyNumberFormat="1" applyFont="1" applyFill="1" applyBorder="1" applyAlignment="1">
      <x:alignment wrapText="0"/>
    </x:xf>
    <x:xf numFmtId="201" fontId="13" fillId="7" borderId="13" xfId="0" applyNumberFormat="1" applyFont="1" applyFill="1" applyBorder="1" applyAlignment="1">
      <x:alignment wrapText="0"/>
    </x:xf>
    <x:xf numFmtId="201" fontId="13" fillId="7" borderId="10" xfId="0" applyNumberFormat="1" applyFont="1" applyFill="1" applyBorder="1" applyAlignment="1">
      <x:alignment horizontal="center" wrapText="0"/>
    </x:xf>
    <x:xf numFmtId="201" fontId="13" fillId="7" borderId="0" xfId="0" applyNumberFormat="1" applyFont="1" applyFill="1" applyBorder="1" applyAlignment="1">
      <x:alignment horizontal="center" wrapText="0"/>
    </x:xf>
    <x:xf numFmtId="201" fontId="13" fillId="7" borderId="11" xfId="0" applyNumberFormat="1" applyFont="1" applyFill="1" applyBorder="1" applyAlignment="1">
      <x:alignment horizontal="center" wrapText="0"/>
    </x:xf>
    <x:xf numFmtId="201" fontId="13" fillId="7" borderId="12" xfId="0" applyNumberFormat="1" applyFont="1" applyFill="1" applyBorder="1" applyAlignment="1">
      <x:alignment horizontal="center" wrapText="0"/>
    </x:xf>
    <x:xf numFmtId="201" fontId="13" fillId="7" borderId="4" xfId="0" applyNumberFormat="1" applyFont="1" applyFill="1" applyBorder="1" applyAlignment="1">
      <x:alignment horizontal="center" wrapText="0"/>
    </x:xf>
    <x:xf numFmtId="201" fontId="13" fillId="7" borderId="13" xfId="0" applyNumberFormat="1" applyFont="1" applyFill="1" applyBorder="1" applyAlignment="1">
      <x:alignment horizontal="center" wrapText="0"/>
    </x:xf>
    <x:xf numFmtId="201" fontId="13" fillId="7" borderId="10" xfId="0" applyNumberFormat="1" applyFont="1" applyFill="1" applyBorder="1" applyAlignment="1">
      <x:alignment horizontal="center" vertical="center" wrapText="0"/>
    </x:xf>
    <x:xf numFmtId="201" fontId="13" fillId="7" borderId="0" xfId="0" applyNumberFormat="1" applyFont="1" applyFill="1" applyBorder="1" applyAlignment="1">
      <x:alignment horizontal="center" vertical="center" wrapText="0"/>
    </x:xf>
    <x:xf numFmtId="201" fontId="13" fillId="7" borderId="11" xfId="0" applyNumberFormat="1" applyFont="1" applyFill="1" applyBorder="1" applyAlignment="1">
      <x:alignment horizontal="center" vertical="center" wrapText="0"/>
    </x:xf>
    <x:xf numFmtId="201" fontId="13" fillId="7" borderId="12" xfId="0" applyNumberFormat="1" applyFont="1" applyFill="1" applyBorder="1" applyAlignment="1">
      <x:alignment horizontal="center" vertical="center" wrapText="0"/>
    </x:xf>
    <x:xf numFmtId="201" fontId="13" fillId="7" borderId="4" xfId="0" applyNumberFormat="1" applyFont="1" applyFill="1" applyBorder="1" applyAlignment="1">
      <x:alignment horizontal="center" vertical="center" wrapText="0"/>
    </x:xf>
    <x:xf numFmtId="201" fontId="13" fillId="7" borderId="13" xfId="0" applyNumberFormat="1" applyFont="1" applyFill="1" applyBorder="1" applyAlignment="1">
      <x:alignment horizontal="center" vertical="center" wrapText="0"/>
    </x:xf>
    <x:xf numFmtId="202" fontId="13" fillId="7" borderId="10" xfId="0" applyNumberFormat="1" applyFont="1" applyFill="1" applyBorder="1"/>
    <x:xf numFmtId="202" fontId="13" fillId="7" borderId="0" xfId="0" applyNumberFormat="1" applyFont="1" applyFill="1" applyBorder="1"/>
    <x:xf numFmtId="202" fontId="13" fillId="7" borderId="11" xfId="0" applyNumberFormat="1" applyFont="1" applyFill="1" applyBorder="1"/>
    <x:xf numFmtId="202" fontId="13" fillId="7" borderId="12" xfId="0" applyNumberFormat="1" applyFont="1" applyFill="1" applyBorder="1"/>
    <x:xf numFmtId="202" fontId="13" fillId="7" borderId="4" xfId="0" applyNumberFormat="1" applyFont="1" applyFill="1" applyBorder="1"/>
    <x:xf numFmtId="202" fontId="13" fillId="7" borderId="13" xfId="0" applyNumberFormat="1" applyFont="1" applyFill="1" applyBorder="1"/>
    <x:xf numFmtId="202" fontId="13" fillId="7" borderId="10" xfId="0" applyNumberFormat="1" applyFont="1" applyFill="1" applyBorder="1" applyAlignment="1">
      <x:alignment wrapText="0"/>
    </x:xf>
    <x:xf numFmtId="202" fontId="13" fillId="7" borderId="0" xfId="0" applyNumberFormat="1" applyFont="1" applyFill="1" applyBorder="1" applyAlignment="1">
      <x:alignment wrapText="0"/>
    </x:xf>
    <x:xf numFmtId="202" fontId="13" fillId="7" borderId="11" xfId="0" applyNumberFormat="1" applyFont="1" applyFill="1" applyBorder="1" applyAlignment="1">
      <x:alignment wrapText="0"/>
    </x:xf>
    <x:xf numFmtId="202" fontId="13" fillId="7" borderId="12" xfId="0" applyNumberFormat="1" applyFont="1" applyFill="1" applyBorder="1" applyAlignment="1">
      <x:alignment wrapText="0"/>
    </x:xf>
    <x:xf numFmtId="202" fontId="13" fillId="7" borderId="4" xfId="0" applyNumberFormat="1" applyFont="1" applyFill="1" applyBorder="1" applyAlignment="1">
      <x:alignment wrapText="0"/>
    </x:xf>
    <x:xf numFmtId="202" fontId="13" fillId="7" borderId="13" xfId="0" applyNumberFormat="1" applyFont="1" applyFill="1" applyBorder="1" applyAlignment="1">
      <x:alignment wrapText="0"/>
    </x:xf>
    <x:xf numFmtId="202" fontId="13" fillId="7" borderId="10" xfId="0" applyNumberFormat="1" applyFont="1" applyFill="1" applyBorder="1" applyAlignment="1">
      <x:alignment horizontal="center" wrapText="0"/>
    </x:xf>
    <x:xf numFmtId="202" fontId="13" fillId="7" borderId="0" xfId="0" applyNumberFormat="1" applyFont="1" applyFill="1" applyBorder="1" applyAlignment="1">
      <x:alignment horizontal="center" wrapText="0"/>
    </x:xf>
    <x:xf numFmtId="202" fontId="13" fillId="7" borderId="11" xfId="0" applyNumberFormat="1" applyFont="1" applyFill="1" applyBorder="1" applyAlignment="1">
      <x:alignment horizontal="center" wrapText="0"/>
    </x:xf>
    <x:xf numFmtId="202" fontId="13" fillId="7" borderId="12" xfId="0" applyNumberFormat="1" applyFont="1" applyFill="1" applyBorder="1" applyAlignment="1">
      <x:alignment horizontal="center" wrapText="0"/>
    </x:xf>
    <x:xf numFmtId="202" fontId="13" fillId="7" borderId="4" xfId="0" applyNumberFormat="1" applyFont="1" applyFill="1" applyBorder="1" applyAlignment="1">
      <x:alignment horizontal="center" wrapText="0"/>
    </x:xf>
    <x:xf numFmtId="202" fontId="13" fillId="7" borderId="13" xfId="0" applyNumberFormat="1" applyFont="1" applyFill="1" applyBorder="1" applyAlignment="1">
      <x:alignment horizontal="center" wrapText="0"/>
    </x:xf>
    <x:xf numFmtId="202" fontId="13" fillId="7" borderId="10" xfId="0" applyNumberFormat="1" applyFont="1" applyFill="1" applyBorder="1" applyAlignment="1">
      <x:alignment horizontal="center" vertical="center" wrapText="0"/>
    </x:xf>
    <x:xf numFmtId="202" fontId="13" fillId="7" borderId="0" xfId="0" applyNumberFormat="1" applyFont="1" applyFill="1" applyBorder="1" applyAlignment="1">
      <x:alignment horizontal="center" vertical="center" wrapText="0"/>
    </x:xf>
    <x:xf numFmtId="202" fontId="13" fillId="7" borderId="11" xfId="0" applyNumberFormat="1" applyFont="1" applyFill="1" applyBorder="1" applyAlignment="1">
      <x:alignment horizontal="center" vertical="center" wrapText="0"/>
    </x:xf>
    <x:xf numFmtId="202" fontId="13" fillId="7" borderId="12" xfId="0" applyNumberFormat="1" applyFont="1" applyFill="1" applyBorder="1" applyAlignment="1">
      <x:alignment horizontal="center" vertical="center" wrapText="0"/>
    </x:xf>
    <x:xf numFmtId="202" fontId="13" fillId="7" borderId="4" xfId="0" applyNumberFormat="1" applyFont="1" applyFill="1" applyBorder="1" applyAlignment="1">
      <x:alignment horizontal="center" vertical="center" wrapText="0"/>
    </x:xf>
    <x:xf numFmtId="202" fontId="13" fillId="7" borderId="13" xfId="0" applyNumberFormat="1" applyFont="1" applyFill="1" applyBorder="1" applyAlignment="1">
      <x:alignment horizontal="center" vertical="center" wrapText="0"/>
    </x:xf>
    <x:xf numFmtId="0" fontId="7" fillId="3" borderId="8" xfId="0" applyNumberFormat="1" applyFont="1" applyFill="1" applyBorder="1"/>
    <x:xf numFmtId="0" fontId="7" fillId="3" borderId="6" xfId="0" applyNumberFormat="1" applyFont="1" applyFill="1" applyBorder="1"/>
    <x:xf numFmtId="0" fontId="7" fillId="3" borderId="9" xfId="0" applyNumberFormat="1" applyFont="1" applyFill="1" applyBorder="1"/>
    <x:xf numFmtId="0" fontId="7" fillId="3" borderId="12" xfId="0" applyNumberFormat="1" applyFont="1" applyFill="1" applyBorder="1"/>
    <x:xf numFmtId="0" fontId="7" fillId="3" borderId="4" xfId="0" applyNumberFormat="1" applyFont="1" applyFill="1" applyBorder="1"/>
    <x:xf numFmtId="0" fontId="7" fillId="3" borderId="13" xfId="0" applyNumberFormat="1" applyFont="1" applyFill="1" applyBorder="1"/>
    <x:xf numFmtId="0" fontId="14" fillId="3" borderId="12" xfId="0" applyNumberFormat="1" applyFont="1" applyFill="1" applyBorder="1"/>
    <x:xf numFmtId="0" fontId="15" fillId="5" borderId="0" xfId="0" applyNumberFormat="1" applyFont="1" applyFill="1" applyBorder="1"/>
    <x:xf numFmtId="0" fontId="15" fillId="5" borderId="0" xfId="0" applyNumberFormat="1" applyFont="1" applyFill="1" applyBorder="1" applyAlignment="1">
      <x:alignment horizontal="right"/>
    </x:xf>
    <x:xf numFmtId="0" fontId="15" fillId="5" borderId="0" xfId="0" applyNumberFormat="1" applyFont="1" applyFill="1" applyBorder="1" applyAlignment="1">
      <x:alignment horizontal="right" vertical="center"/>
    </x:xf>
    <x:xf numFmtId="0" fontId="16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right" vertical="center" wrapText="1"/>
    </x:xf>
    <x:xf numFmtId="0" fontId="3" fillId="2" borderId="0" xfId="0" applyNumberFormat="1" applyFont="1" applyFill="1" applyBorder="1" applyAlignment="1">
      <x:alignment horizontal="right" vertical="center" wrapText="1"/>
    </x:xf>
    <x:xf numFmtId="0" fontId="4" fillId="3" borderId="0" xfId="0" applyNumberFormat="1" applyFont="1" applyFill="1" applyBorder="1" applyAlignment="1">
      <x:alignment horizontal="right" vertical="center" wrapText="1"/>
    </x:xf>
    <x:xf numFmtId="0" fontId="16" fillId="0" borderId="0" xfId="0" applyNumberFormat="1" applyFont="1" applyFill="1" applyBorder="1" applyAlignment="1">
      <x:alignment wrapText="1"/>
    </x:xf>
    <x:xf numFmtId="0" fontId="12" fillId="7" borderId="8" xfId="0" applyNumberFormat="1" applyFont="1" applyFill="1" applyBorder="1" applyAlignment="1">
      <x:alignment horizontal="right" vertical="center" wrapText="1"/>
    </x:xf>
    <x:xf numFmtId="0" fontId="12" fillId="7" borderId="6" xfId="0" applyNumberFormat="1" applyFont="1" applyFill="1" applyBorder="1" applyAlignment="1">
      <x:alignment horizontal="right" vertical="center" wrapText="1"/>
    </x:xf>
    <x:xf numFmtId="0" fontId="12" fillId="7" borderId="9" xfId="0" applyNumberFormat="1" applyFont="1" applyFill="1" applyBorder="1" applyAlignment="1">
      <x:alignment horizontal="right" vertical="center" wrapText="1"/>
    </x:xf>
    <x:xf numFmtId="201" fontId="13" fillId="7" borderId="10" xfId="0" applyNumberFormat="1" applyFont="1" applyFill="1" applyBorder="1" applyAlignment="1">
      <x:alignment horizontal="center" vertical="center" wrapText="1"/>
    </x:xf>
    <x:xf numFmtId="201" fontId="13" fillId="7" borderId="0" xfId="0" applyNumberFormat="1" applyFont="1" applyFill="1" applyBorder="1" applyAlignment="1">
      <x:alignment horizontal="center" vertical="center" wrapText="1"/>
    </x:xf>
    <x:xf numFmtId="201" fontId="13" fillId="7" borderId="11" xfId="0" applyNumberFormat="1" applyFont="1" applyFill="1" applyBorder="1" applyAlignment="1">
      <x:alignment horizontal="center" vertical="center" wrapText="1"/>
    </x:xf>
    <x:xf numFmtId="202" fontId="13" fillId="7" borderId="10" xfId="0" applyNumberFormat="1" applyFont="1" applyFill="1" applyBorder="1" applyAlignment="1">
      <x:alignment horizontal="center" vertical="center" wrapText="1"/>
    </x:xf>
    <x:xf numFmtId="202" fontId="13" fillId="7" borderId="0" xfId="0" applyNumberFormat="1" applyFont="1" applyFill="1" applyBorder="1" applyAlignment="1">
      <x:alignment horizontal="center" vertical="center" wrapText="1"/>
    </x:xf>
    <x:xf numFmtId="202" fontId="13" fillId="7" borderId="11" xfId="0" applyNumberFormat="1" applyFont="1" applyFill="1" applyBorder="1" applyAlignment="1">
      <x:alignment horizontal="center" vertical="center" wrapText="1"/>
    </x:xf>
    <x:xf numFmtId="201" fontId="13" fillId="7" borderId="12" xfId="0" applyNumberFormat="1" applyFont="1" applyFill="1" applyBorder="1" applyAlignment="1">
      <x:alignment horizontal="center" vertical="center" wrapText="1"/>
    </x:xf>
    <x:xf numFmtId="201" fontId="13" fillId="7" borderId="4" xfId="0" applyNumberFormat="1" applyFont="1" applyFill="1" applyBorder="1" applyAlignment="1">
      <x:alignment horizontal="center" vertical="center" wrapText="1"/>
    </x:xf>
    <x:xf numFmtId="201" fontId="13" fillId="7" borderId="13" xfId="0" applyNumberFormat="1" applyFont="1" applyFill="1" applyBorder="1" applyAlignment="1">
      <x:alignment horizontal="center" vertical="center" wrapText="1"/>
    </x:xf>
    <x:xf numFmtId="202" fontId="13" fillId="7" borderId="12" xfId="0" applyNumberFormat="1" applyFont="1" applyFill="1" applyBorder="1" applyAlignment="1">
      <x:alignment horizontal="center" vertical="center" wrapText="1"/>
    </x:xf>
    <x:xf numFmtId="202" fontId="13" fillId="7" borderId="4" xfId="0" applyNumberFormat="1" applyFont="1" applyFill="1" applyBorder="1" applyAlignment="1">
      <x:alignment horizontal="center" vertical="center" wrapText="1"/>
    </x:xf>
    <x:xf numFmtId="202" fontId="13" fillId="7" borderId="13" xfId="0" applyNumberFormat="1" applyFont="1" applyFill="1" applyBorder="1" applyAlignment="1">
      <x:alignment horizontal="center" vertical="center" wrapText="1"/>
    </x:xf>
    <x:xf numFmtId="0" fontId="7" fillId="3" borderId="8" xfId="0" applyNumberFormat="1" applyFont="1" applyFill="1" applyBorder="1" applyAlignment="1">
      <x:alignment wrapText="1"/>
    </x:xf>
    <x:xf numFmtId="0" fontId="7" fillId="3" borderId="6" xfId="0" applyNumberFormat="1" applyFont="1" applyFill="1" applyBorder="1" applyAlignment="1">
      <x:alignment wrapText="1"/>
    </x:xf>
    <x:xf numFmtId="0" fontId="7" fillId="3" borderId="9" xfId="0" applyNumberFormat="1" applyFont="1" applyFill="1" applyBorder="1" applyAlignment="1">
      <x:alignment wrapText="1"/>
    </x:xf>
    <x:xf numFmtId="0" fontId="14" fillId="3" borderId="12" xfId="0" applyNumberFormat="1" applyFont="1" applyFill="1" applyBorder="1" applyAlignment="1">
      <x:alignment wrapText="1"/>
    </x:xf>
    <x:xf numFmtId="0" fontId="7" fillId="3" borderId="4" xfId="0" applyNumberFormat="1" applyFont="1" applyFill="1" applyBorder="1" applyAlignment="1">
      <x:alignment wrapText="1"/>
    </x:xf>
    <x:xf numFmtId="0" fontId="7" fillId="3" borderId="13" xfId="0" applyNumberFormat="1" applyFont="1" applyFill="1" applyBorder="1" applyAlignment="1">
      <x:alignment wrapText="1"/>
    </x:xf>
    <x:xf numFmtId="0" fontId="15" fillId="5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5">
    <x:dxf>
      <x:fill>
        <x:patternFill patternType="solid">
          <x:bgColor rgb="FFF7FAF8"/>
        </x:patternFill>
      </x:fill>
    </x:dxf>
    <x:dxf>
      <x:font>
        <x:b/>
        <x:color rgb="FF073F36"/>
      </x:font>
      <x:fill>
        <x:patternFill patternType="solid">
          <x:bgColor rgb="FFE5F3ED"/>
        </x:patternFill>
      </x:fill>
    </x:dxf>
    <x:dxf>
      <x:font>
        <x:b/>
        <x:color rgb="FFA0453C"/>
      </x:font>
      <x:fill>
        <x:patternFill patternType="solid">
          <x:bgColor rgb="FFF9E4E1"/>
        </x:patternFill>
      </x:fill>
    </x:dxf>
    <x:dxf>
      <x:font>
        <x:b/>
        <x:color rgb="FF073F36"/>
      </x:font>
      <x:fill>
        <x:patternFill patternType="solid">
          <x:bgColor rgb="FFE5F3ED"/>
        </x:patternFill>
      </x:fill>
    </x:dxf>
    <x:dxf>
      <x:font>
        <x:b/>
        <x:color rgb="FF80611F"/>
      </x:font>
      <x:fill>
        <x:patternFill patternType="solid">
          <x:bgColor rgb="FFF6E8C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d3301ca9fd42b1" /><Relationship Type="http://schemas.openxmlformats.org/officeDocument/2006/relationships/theme" Target="/xl/theme/theme1.xml" Id="Rc11dbd61e2784570" /><Relationship Type="http://schemas.openxmlformats.org/officeDocument/2006/relationships/sharedStrings" Target="/xl/sharedStrings.xml" Id="Raef9578d9e56496b" /><Relationship Type="http://schemas.openxmlformats.org/officeDocument/2006/relationships/worksheet" Target="/xl/worksheets/sheet1.xml" Id="Rd1e2d42dbe474703" /><Relationship Type="http://schemas.openxmlformats.org/officeDocument/2006/relationships/worksheet" Target="/xl/worksheets/sheet2.xml" Id="Ra0964671d47344b9" /><Relationship Type="http://schemas.openxmlformats.org/officeDocument/2006/relationships/worksheet" Target="/xl/worksheets/sheet3.xml" Id="R42bc24e1bcc9460e" /><Relationship Type="http://schemas.openxmlformats.org/officeDocument/2006/relationships/worksheet" Target="/xl/worksheets/sheet4.xml" Id="R25f851d213634618" /><Relationship Type="http://schemas.microsoft.com/office/2017/10/relationships/person" Target="/xl/persons/person.xml" Id="Rb2d3ffcab8aa41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85a206727e4dea" /><Relationship Type="http://schemas.openxmlformats.org/officeDocument/2006/relationships/chart" Target="/xl/drawings/charts/chart2.xml" Id="Rd7d8a6b3beba4e4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اتجاه العوائد اليومية (د.ع)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العوائد</c:v>
          </c:tx>
          <c:spPr>
            <a:solidFill xmlns:a="http://schemas.openxmlformats.org/drawingml/2006/main">
              <a:srgbClr val="0B6655"/>
            </a:solidFill>
          </c:spPr>
          <c:marker>
            <c:symbol val="none"/>
          </c:marker>
          <c:cat>
            <c:strRef>
              <c:f>'لوحة الإدارة'!$N$2:$N$12</c:f>
              <c:strCache>
                <c:ptCount val="0"/>
              </c:strCache>
            </c:strRef>
          </c:cat>
          <c:val>
            <c:numRef>
              <c:f>'لوحة الإدارة'!$O$2:$O$12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توزيع الإجراءات – 488 إجراء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doughnutChart>
        <c:ser>
          <c:idx val="0"/>
          <c:order val="0"/>
          <c:tx>
            <c:v>القيمة</c:v>
          </c:tx>
          <c:cat>
            <c:strRef>
              <c:f>'لوحة الإدارة'!$P$2:$P$4</c:f>
              <c:strCache>
                <c:ptCount val="0"/>
              </c:strCache>
            </c:strRef>
          </c:cat>
          <c:val>
            <c:numRef>
              <c:f>'لوحة الإدارة'!$Q$2:$Q$4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85a206727e4dea"/>
        </a:graphicData>
      </a:graphic>
    </xdr:graphicFrame>
    <xdr:clientData/>
  </xdr:twoCellAnchor>
  <xdr:twoCellAnchor>
    <xdr:from>
      <xdr:col>7</xdr:col>
      <xdr:colOff>0</xdr:colOff>
      <xdr:row>12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d8a6b3beba4e41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5E099C21-CCDA-4676-A215-2664338C7972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3" dT="2026-08-11T00:51:21.037" personId="{5E099C21-CCDA-4676-A215-2664338C7972}" id="{BEEE3A2D-5DC5-A603-E4D5-87109956A852}">
    <xltc:text>المصدر: لوحة الإدارة في نظام البياتي | الفترة: آب 2026 | هذه نسخة تجريبية أُنشئت للاستعراض الإداري.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32" dT="2026-08-11T00:51:21.043" personId="{5E099C21-CCDA-4676-A215-2664338C7972}" id="{B9EC5216-99C4-8D94-6AFD-BD9ED17C1BD7}">
    <xltc:text>Source: http://localhost:3000/ | Report API: http://localhost:3000/api/reports?period=monthly&amp;date=2026-08-11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323ab4fc8e64589" /><Relationship Type="http://schemas.openxmlformats.org/officeDocument/2006/relationships/vmlDrawing" Target="/xl/drawings/vmldrawing.vml" Id="Rd27089003f1d4701" /><Relationship Type="http://schemas.microsoft.com/office/2017/10/relationships/threadedComment" Target="/xl/threadedcomments/threadedcomment.xml" Id="R713d8ba430324d74" /><Relationship Type="http://schemas.openxmlformats.org/officeDocument/2006/relationships/drawing" Target="/xl/drawings/drawing1.xml" Id="Rc1bc865c537841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6445c852b28b469a" /><Relationship Type="http://schemas.openxmlformats.org/officeDocument/2006/relationships/vmlDrawing" Target="/xl/drawings/vmldrawing2.vml" Id="Rf82d63f411944538" /><Relationship Type="http://schemas.microsoft.com/office/2017/10/relationships/threadedComment" Target="/xl/threadedcomments/threadedcomment2.xml" Id="Ra1f61d7b79a44d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6" customHeight="1">
      <x:c r="A1" s="161" t="str">
        <x:v>تقرير الإدارة العليا – آب 2026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N1" t="str">
        <x:v>اليوم</x:v>
      </x:c>
      <x:c r="O1" t="str">
        <x:v>العوائد</x:v>
      </x:c>
      <x:c r="P1" t="str">
        <x:v>الإجراءات</x:v>
      </x:c>
      <x:c r="Q1" t="str">
        <x:v>القيمة</x:v>
      </x:c>
    </x:row>
    <x:row r="2" ht="24" customHeight="1">
      <x:c r="A2" s="162" t="str">
        <x:v>ملخص تنفيذي متكامل للأداء الطبي والمالي مع مؤشرات قابلة للتتبع</x:v>
      </x:c>
      <x:c r="B2" s="162"/>
      <x:c r="C2" s="162"/>
      <x:c r="D2" s="162"/>
      <x:c r="E2" s="162"/>
      <x:c r="F2" s="162"/>
      <x:c r="G2" s="162"/>
      <x:c r="H2" s="162"/>
      <x:c r="I2" s="162"/>
      <x:c r="J2" s="162"/>
      <x:c r="K2" s="162"/>
      <x:c r="L2" s="162"/>
      <x:c r="N2" t="str">
        <x:v>1 آب</x:v>
      </x:c>
      <x:c r="O2" t="n">
        <x:f>'التشغيل اليومي'!G6</x:f>
        <x:v>3900000</x:v>
      </x:c>
      <x:c r="P2" t="str">
        <x:v>الاستشاريات</x:v>
      </x:c>
      <x:c r="Q2" t="n">
        <x:v>303</x:v>
      </x:c>
    </x:row>
    <x:row r="3" ht="23" customHeight="1">
      <x:c r="A3" s="163" t="str">
        <x:v>الفترة: 1–31 آب 2026  |  المالك: الإدارة العليا – رئاسة القسم  |  الحالة: تقرير إدارة تجريبي قابل للتدقيق</x:v>
      </x:c>
      <x:c r="B3" s="163"/>
      <x:c r="C3" s="163"/>
      <x:c r="D3" s="163"/>
      <x:c r="E3" s="163"/>
      <x:c r="F3" s="163"/>
      <x:c r="G3" s="163"/>
      <x:c r="H3" s="163"/>
      <x:c r="I3" s="163"/>
      <x:c r="J3" s="163"/>
      <x:c r="K3" s="163"/>
      <x:c r="L3" s="163"/>
      <x:c r="N3" t="str">
        <x:v>2 آب</x:v>
      </x:c>
      <x:c r="O3" t="n">
        <x:f>'التشغيل اليومي'!G7</x:f>
        <x:v>4200000</x:v>
      </x:c>
      <x:c r="P3" t="str">
        <x:v>القيصريات</x:v>
      </x:c>
      <x:c r="Q3" t="n">
        <x:v>112</x:v>
      </x:c>
    </x:row>
    <x:row r="4">
      <x:c r="A4" s="164"/>
      <x:c r="B4" s="164"/>
      <x:c r="C4" s="164"/>
      <x:c r="D4" s="164"/>
      <x:c r="E4" s="164"/>
      <x:c r="F4" s="164"/>
      <x:c r="G4" s="164"/>
      <x:c r="H4" s="164"/>
      <x:c r="I4" s="164"/>
      <x:c r="J4" s="164"/>
      <x:c r="K4" s="164"/>
      <x:c r="L4" s="164"/>
      <x:c r="N4" t="str">
        <x:v>3 آب</x:v>
      </x:c>
      <x:c r="O4" t="n">
        <x:f>'التشغيل اليومي'!G8</x:f>
        <x:v>4050000</x:v>
      </x:c>
      <x:c r="P4" t="str">
        <x:v>الرقود</x:v>
      </x:c>
      <x:c r="Q4" t="n">
        <x:v>73</x:v>
      </x:c>
    </x:row>
    <x:row r="5" ht="24" customHeight="1">
      <x:c r="A5" s="165" t="str">
        <x:v>إجمالي المرضى</x:v>
      </x:c>
      <x:c r="B5" s="166" t="str">
        <x:v>إجمالي المرضى</x:v>
      </x:c>
      <x:c r="C5" s="167" t="str">
        <x:v>إجمالي المرضى</x:v>
      </x:c>
      <x:c r="D5" s="165" t="str">
        <x:v>إجمالي العوائد</x:v>
      </x:c>
      <x:c r="E5" s="166" t="str">
        <x:v>إجمالي العوائد</x:v>
      </x:c>
      <x:c r="F5" s="167" t="str">
        <x:v>إجمالي العوائد</x:v>
      </x:c>
      <x:c r="G5" s="165" t="str">
        <x:v>استحقاقات الأطباء</x:v>
      </x:c>
      <x:c r="H5" s="166" t="str">
        <x:v>استحقاقات الأطباء</x:v>
      </x:c>
      <x:c r="I5" s="167" t="str">
        <x:v>استحقاقات الأطباء</x:v>
      </x:c>
      <x:c r="J5" s="165" t="str">
        <x:v>صافي النتيجة</x:v>
      </x:c>
      <x:c r="K5" s="166" t="str">
        <x:v>صافي النتيجة</x:v>
      </x:c>
      <x:c r="L5" s="167" t="str">
        <x:v>صافي النتيجة</x:v>
      </x:c>
      <x:c r="N5" t="str">
        <x:v>4 آب</x:v>
      </x:c>
      <x:c r="O5" t="n">
        <x:f>'التشغيل اليومي'!G9</x:f>
        <x:v>4800000</x:v>
      </x:c>
    </x:row>
    <x:row r="6" ht="30" customHeight="1">
      <x:c r="A6" s="168" t="n">
        <x:f>'التشغيل اليومي'!B17</x:f>
        <x:v>342</x:v>
      </x:c>
      <x:c r="B6" s="169"/>
      <x:c r="C6" s="170"/>
      <x:c r="D6" s="171" t="n">
        <x:f>'المالية'!B12</x:f>
        <x:v>48650000</x:v>
      </x:c>
      <x:c r="E6" s="172"/>
      <x:c r="F6" s="173"/>
      <x:c r="G6" s="171" t="n">
        <x:f>'الأطباء'!H14</x:f>
        <x:v>18240000</x:v>
      </x:c>
      <x:c r="H6" s="172"/>
      <x:c r="I6" s="173"/>
      <x:c r="J6" s="171" t="n">
        <x:f>'المالية'!E9</x:f>
        <x:v>20680000</x:v>
      </x:c>
      <x:c r="K6" s="172"/>
      <x:c r="L6" s="173"/>
      <x:c r="N6" t="str">
        <x:v>5 آب</x:v>
      </x:c>
      <x:c r="O6" t="n">
        <x:f>'التشغيل اليومي'!G10</x:f>
        <x:v>3750000</x:v>
      </x:c>
    </x:row>
    <x:row r="7" ht="30" customHeight="1">
      <x:c r="A7" s="168"/>
      <x:c r="B7" s="169"/>
      <x:c r="C7" s="170"/>
      <x:c r="D7" s="171"/>
      <x:c r="E7" s="172"/>
      <x:c r="F7" s="173"/>
      <x:c r="G7" s="171"/>
      <x:c r="H7" s="172"/>
      <x:c r="I7" s="173"/>
      <x:c r="J7" s="171"/>
      <x:c r="K7" s="172"/>
      <x:c r="L7" s="173"/>
      <x:c r="N7" t="str">
        <x:v>6 آب</x:v>
      </x:c>
      <x:c r="O7" t="n">
        <x:f>'التشغيل اليومي'!G11</x:f>
        <x:v>4500000</x:v>
      </x:c>
    </x:row>
    <x:row r="8" ht="24" customHeight="1">
      <x:c r="A8" s="174"/>
      <x:c r="B8" s="175"/>
      <x:c r="C8" s="176"/>
      <x:c r="D8" s="177"/>
      <x:c r="E8" s="178"/>
      <x:c r="F8" s="179"/>
      <x:c r="G8" s="177"/>
      <x:c r="H8" s="178"/>
      <x:c r="I8" s="179"/>
      <x:c r="J8" s="177"/>
      <x:c r="K8" s="178"/>
      <x:c r="L8" s="179"/>
      <x:c r="N8" t="str">
        <x:v>7 آب</x:v>
      </x:c>
      <x:c r="O8" t="n">
        <x:f>'التشغيل اليومي'!G12</x:f>
        <x:v>4650000</x:v>
      </x:c>
    </x:row>
    <x:row r="9" ht="24" customHeight="1">
      <x:c r="A9" s="164"/>
      <x:c r="B9" s="164"/>
      <x:c r="C9" s="164"/>
      <x:c r="D9" s="164"/>
      <x:c r="E9" s="164"/>
      <x:c r="F9" s="164"/>
      <x:c r="G9" s="164"/>
      <x:c r="H9" s="164"/>
      <x:c r="I9" s="164"/>
      <x:c r="J9" s="164"/>
      <x:c r="K9" s="164"/>
      <x:c r="L9" s="164"/>
      <x:c r="N9" t="str">
        <x:v>8 آب</x:v>
      </x:c>
      <x:c r="O9" t="n">
        <x:f>'التشغيل اليومي'!G13</x:f>
        <x:v>5050000</x:v>
      </x:c>
    </x:row>
    <x:row r="10" ht="24" customHeight="1">
      <x:c r="A10" s="180" t="str">
        <x:v>الولادات</x:v>
      </x:c>
      <x:c r="B10" s="181"/>
      <x:c r="C10" s="182"/>
      <x:c r="D10" s="180" t="str">
        <x:v>إجمالي الإجراءات</x:v>
      </x:c>
      <x:c r="E10" s="181"/>
      <x:c r="F10" s="182"/>
      <x:c r="G10" s="180" t="str">
        <x:v>الأكثر استلامًا للمرضى</x:v>
      </x:c>
      <x:c r="H10" s="181"/>
      <x:c r="I10" s="182"/>
      <x:c r="J10" s="180" t="str">
        <x:v>حالات الدفع المعلقة</x:v>
      </x:c>
      <x:c r="K10" s="181"/>
      <x:c r="L10" s="182"/>
      <x:c r="N10" t="str">
        <x:v>9 آب</x:v>
      </x:c>
      <x:c r="O10" t="n">
        <x:f>'التشغيل اليومي'!G14</x:f>
        <x:v>4400000</x:v>
      </x:c>
    </x:row>
    <x:row r="11" ht="24" customHeight="1">
      <x:c r="A11" s="183" t="n">
        <x:f>'التشغيل اليومي'!D17</x:f>
        <x:v>58</x:v>
      </x:c>
      <x:c r="B11" s="184"/>
      <x:c r="C11" s="185"/>
      <x:c r="D11" s="183" t="n">
        <x:f>SUM('التشغيل اليومي'!C17,'التشغيل اليومي'!E17,'التشغيل اليومي'!F17)</x:f>
        <x:v>488</x:v>
      </x:c>
      <x:c r="E11" s="184"/>
      <x:c r="F11" s="185"/>
      <x:c r="G11" s="183" t="str">
        <x:v>د. شهد</x:v>
      </x:c>
      <x:c r="H11" s="184"/>
      <x:c r="I11" s="185"/>
      <x:c r="J11" s="183" t="n">
        <x:f>COUNTIF('المالية'!C27:C30,"معلق")</x:f>
        <x:v>1</x:v>
      </x:c>
      <x:c r="K11" s="184"/>
      <x:c r="L11" s="185"/>
      <x:c r="N11" t="str">
        <x:v>10 آب</x:v>
      </x:c>
      <x:c r="O11" t="n">
        <x:f>'التشغيل اليومي'!G15</x:f>
        <x:v>4100000</x:v>
      </x:c>
    </x:row>
    <x:row r="12">
      <x:c r="A12" s="164"/>
      <x:c r="B12" s="164"/>
      <x:c r="C12" s="164"/>
      <x:c r="D12" s="164"/>
      <x:c r="E12" s="164"/>
      <x:c r="F12" s="164"/>
      <x:c r="G12" s="164"/>
      <x:c r="H12" s="164"/>
      <x:c r="I12" s="164"/>
      <x:c r="J12" s="164"/>
      <x:c r="K12" s="164"/>
      <x:c r="L12" s="164"/>
      <x:c r="N12" t="str">
        <x:v>11 آب</x:v>
      </x:c>
      <x:c r="O12" t="n">
        <x:f>'التشغيل اليومي'!G16</x:f>
        <x:v>5250000</x:v>
      </x:c>
    </x:row>
    <x:row r="13">
      <x:c r="A13" s="164"/>
      <x:c r="B13" s="164"/>
      <x:c r="C13" s="164"/>
      <x:c r="D13" s="164"/>
      <x:c r="E13" s="164"/>
      <x:c r="F13" s="164"/>
      <x:c r="G13" s="164"/>
      <x:c r="H13" s="164"/>
      <x:c r="I13" s="164"/>
      <x:c r="J13" s="164"/>
      <x:c r="K13" s="164"/>
      <x:c r="L13" s="164"/>
    </x:row>
    <x:row r="14">
      <x:c r="A14" s="164"/>
      <x:c r="B14" s="164"/>
      <x:c r="C14" s="164"/>
      <x:c r="D14" s="164"/>
      <x:c r="E14" s="164"/>
      <x:c r="F14" s="164"/>
      <x:c r="G14" s="164"/>
      <x:c r="H14" s="164"/>
      <x:c r="I14" s="164"/>
      <x:c r="J14" s="164"/>
      <x:c r="K14" s="164"/>
      <x:c r="L14" s="164"/>
    </x:row>
    <x:row r="15">
      <x:c r="A15" s="164"/>
      <x:c r="B15" s="164"/>
      <x:c r="C15" s="164"/>
      <x:c r="D15" s="164"/>
      <x:c r="E15" s="164"/>
      <x:c r="F15" s="164"/>
      <x:c r="G15" s="164"/>
      <x:c r="H15" s="164"/>
      <x:c r="I15" s="164"/>
      <x:c r="J15" s="164"/>
      <x:c r="K15" s="164"/>
      <x:c r="L15" s="164"/>
    </x:row>
    <x:row r="16">
      <x:c r="A16" s="164"/>
      <x:c r="B16" s="164"/>
      <x:c r="C16" s="164"/>
      <x:c r="D16" s="164"/>
      <x:c r="E16" s="164"/>
      <x:c r="F16" s="164"/>
      <x:c r="G16" s="164"/>
      <x:c r="H16" s="164"/>
      <x:c r="I16" s="164"/>
      <x:c r="J16" s="164"/>
      <x:c r="K16" s="164"/>
      <x:c r="L16" s="164"/>
    </x:row>
    <x:row r="17">
      <x:c r="A17" s="164"/>
      <x:c r="B17" s="164"/>
      <x:c r="C17" s="164"/>
      <x:c r="D17" s="164"/>
      <x:c r="E17" s="164"/>
      <x:c r="F17" s="164"/>
      <x:c r="G17" s="164"/>
      <x:c r="H17" s="164"/>
      <x:c r="I17" s="164"/>
      <x:c r="J17" s="164"/>
      <x:c r="K17" s="164"/>
      <x:c r="L17" s="164"/>
    </x:row>
    <x:row r="18">
      <x:c r="A18" s="164"/>
      <x:c r="B18" s="164"/>
      <x:c r="C18" s="164"/>
      <x:c r="D18" s="164"/>
      <x:c r="E18" s="164"/>
      <x:c r="F18" s="164"/>
      <x:c r="G18" s="164"/>
      <x:c r="H18" s="164"/>
      <x:c r="I18" s="164"/>
      <x:c r="J18" s="164"/>
      <x:c r="K18" s="164"/>
      <x:c r="L18" s="164"/>
    </x:row>
    <x:row r="19">
      <x:c r="A19" s="164"/>
      <x:c r="B19" s="164"/>
      <x:c r="C19" s="164"/>
      <x:c r="D19" s="164"/>
      <x:c r="E19" s="164"/>
      <x:c r="F19" s="164"/>
      <x:c r="G19" s="164"/>
      <x:c r="H19" s="164"/>
      <x:c r="I19" s="164"/>
      <x:c r="J19" s="164"/>
      <x:c r="K19" s="164"/>
      <x:c r="L19" s="164"/>
    </x:row>
    <x:row r="20">
      <x:c r="A20" s="164"/>
      <x:c r="B20" s="164"/>
      <x:c r="C20" s="164"/>
      <x:c r="D20" s="164"/>
      <x:c r="E20" s="164"/>
      <x:c r="F20" s="164"/>
      <x:c r="G20" s="164"/>
      <x:c r="H20" s="164"/>
      <x:c r="I20" s="164"/>
      <x:c r="J20" s="164"/>
      <x:c r="K20" s="164"/>
      <x:c r="L20" s="164"/>
    </x:row>
    <x:row r="21">
      <x:c r="A21" s="164"/>
      <x:c r="B21" s="164"/>
      <x:c r="C21" s="164"/>
      <x:c r="D21" s="164"/>
      <x:c r="E21" s="164"/>
      <x:c r="F21" s="164"/>
      <x:c r="G21" s="164"/>
      <x:c r="H21" s="164"/>
      <x:c r="I21" s="164"/>
      <x:c r="J21" s="164"/>
      <x:c r="K21" s="164"/>
      <x:c r="L21" s="164"/>
    </x:row>
    <x:row r="22">
      <x:c r="A22" s="164"/>
      <x:c r="B22" s="164"/>
      <x:c r="C22" s="164"/>
      <x:c r="D22" s="164"/>
      <x:c r="E22" s="164"/>
      <x:c r="F22" s="164"/>
      <x:c r="G22" s="164"/>
      <x:c r="H22" s="164"/>
      <x:c r="I22" s="164"/>
      <x:c r="J22" s="164"/>
      <x:c r="K22" s="164"/>
      <x:c r="L22" s="164"/>
    </x:row>
    <x:row r="23">
      <x:c r="A23" s="164"/>
      <x:c r="B23" s="164"/>
      <x:c r="C23" s="164"/>
      <x:c r="D23" s="164"/>
      <x:c r="E23" s="164"/>
      <x:c r="F23" s="164"/>
      <x:c r="G23" s="164"/>
      <x:c r="H23" s="164"/>
      <x:c r="I23" s="164"/>
      <x:c r="J23" s="164"/>
      <x:c r="K23" s="164"/>
      <x:c r="L23" s="164"/>
    </x:row>
    <x:row r="24">
      <x:c r="A24" s="164"/>
      <x:c r="B24" s="164"/>
      <x:c r="C24" s="164"/>
      <x:c r="D24" s="164"/>
      <x:c r="E24" s="164"/>
      <x:c r="F24" s="164"/>
      <x:c r="G24" s="164"/>
      <x:c r="H24" s="164"/>
      <x:c r="I24" s="164"/>
      <x:c r="J24" s="164"/>
      <x:c r="K24" s="164"/>
      <x:c r="L24" s="164"/>
    </x:row>
    <x:row r="25">
      <x:c r="A25" s="164"/>
      <x:c r="B25" s="164"/>
      <x:c r="C25" s="164"/>
      <x:c r="D25" s="164"/>
      <x:c r="E25" s="164"/>
      <x:c r="F25" s="164"/>
      <x:c r="G25" s="164"/>
      <x:c r="H25" s="164"/>
      <x:c r="I25" s="164"/>
      <x:c r="J25" s="164"/>
      <x:c r="K25" s="164"/>
      <x:c r="L25" s="164"/>
    </x:row>
    <x:row r="26">
      <x:c r="A26" s="164"/>
      <x:c r="B26" s="164"/>
      <x:c r="C26" s="164"/>
      <x:c r="D26" s="164"/>
      <x:c r="E26" s="164"/>
      <x:c r="F26" s="164"/>
      <x:c r="G26" s="164"/>
      <x:c r="H26" s="164"/>
      <x:c r="I26" s="164"/>
      <x:c r="J26" s="164"/>
      <x:c r="K26" s="164"/>
      <x:c r="L26" s="164"/>
    </x:row>
    <x:row r="27">
      <x:c r="A27" s="164"/>
      <x:c r="B27" s="164"/>
      <x:c r="C27" s="164"/>
      <x:c r="D27" s="164"/>
      <x:c r="E27" s="164"/>
      <x:c r="F27" s="164"/>
      <x:c r="G27" s="164"/>
      <x:c r="H27" s="164"/>
      <x:c r="I27" s="164"/>
      <x:c r="J27" s="164"/>
      <x:c r="K27" s="164"/>
      <x:c r="L27" s="164"/>
    </x:row>
    <x:row r="28">
      <x:c r="A28" s="164"/>
      <x:c r="B28" s="164"/>
      <x:c r="C28" s="164"/>
      <x:c r="D28" s="164"/>
      <x:c r="E28" s="164"/>
      <x:c r="F28" s="164"/>
      <x:c r="G28" s="164"/>
      <x:c r="H28" s="164"/>
      <x:c r="I28" s="164"/>
      <x:c r="J28" s="164"/>
      <x:c r="K28" s="164"/>
      <x:c r="L28" s="164"/>
    </x:row>
    <x:row r="29">
      <x:c r="A29" s="164"/>
      <x:c r="B29" s="164"/>
      <x:c r="C29" s="164"/>
      <x:c r="D29" s="164"/>
      <x:c r="E29" s="164"/>
      <x:c r="F29" s="164"/>
      <x:c r="G29" s="164"/>
      <x:c r="H29" s="164"/>
      <x:c r="I29" s="164"/>
      <x:c r="J29" s="164"/>
      <x:c r="K29" s="164"/>
      <x:c r="L29" s="164"/>
    </x:row>
    <x:row r="30">
      <x:c r="A30" s="164"/>
      <x:c r="B30" s="164"/>
      <x:c r="C30" s="164"/>
      <x:c r="D30" s="164"/>
      <x:c r="E30" s="164"/>
      <x:c r="F30" s="164"/>
      <x:c r="G30" s="164"/>
      <x:c r="H30" s="164"/>
      <x:c r="I30" s="164"/>
      <x:c r="J30" s="164"/>
      <x:c r="K30" s="164"/>
      <x:c r="L30" s="164"/>
    </x:row>
    <x:row r="31" ht="28" customHeight="1">
      <x:c r="A31" s="186" t="str">
        <x:v>تنبيه الإدارة: توجد حالة دفع معلقة بقيمة 90,000 د.ع تتطلب المطابقة قبل توزيع أجور الرقود.</x:v>
      </x:c>
      <x:c r="B31" s="186"/>
      <x:c r="C31" s="186"/>
      <x:c r="D31" s="186"/>
      <x:c r="E31" s="186"/>
      <x:c r="F31" s="186"/>
      <x:c r="G31" s="186"/>
      <x:c r="H31" s="186"/>
      <x:c r="I31" s="186"/>
      <x:c r="J31" s="186"/>
      <x:c r="K31" s="186"/>
      <x:c r="L31" s="186"/>
    </x:row>
  </x:sheetData>
  <x:mergeCells>
    <x:mergeCell ref="A1:L1"/>
    <x:mergeCell ref="A2:L2"/>
    <x:mergeCell ref="A3:L3"/>
    <x:mergeCell ref="A5:C5"/>
    <x:mergeCell ref="A6:C8"/>
    <x:mergeCell ref="D5:F5"/>
    <x:mergeCell ref="D6:F8"/>
    <x:mergeCell ref="G5:I5"/>
    <x:mergeCell ref="G6:I8"/>
    <x:mergeCell ref="J5:L5"/>
    <x:mergeCell ref="J6:L8"/>
    <x:mergeCell ref="A31:L31"/>
  </x:mergeCells>
  <x:pageMargins left="0.7" right="0.7" top="0.75" bottom="0.75" header="0.3" footer="0.3"/>
  <x:drawing xmlns:r="http://schemas.openxmlformats.org/officeDocument/2006/relationships" r:id="Rc1bc865c537841e2"/>
  <x:legacyDrawing xmlns:r="http://schemas.openxmlformats.org/officeDocument/2006/relationships" r:id="Rd27089003f1d470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8" hidden="0" customWidth="1"/>
    <x:col min="8" max="8" width="32" hidden="0" customWidth="1"/>
  </x:cols>
  <x:sheetData>
    <x:row r="1" ht="36" customHeight="1">
      <x:c r="A1" s="5" t="str">
        <x:v>التشغيل اليومي</x:v>
      </x:c>
      <x:c r="B1" s="5"/>
      <x:c r="C1" s="5"/>
      <x:c r="D1" s="5"/>
      <x:c r="E1" s="5"/>
      <x:c r="F1" s="5"/>
      <x:c r="G1" s="5"/>
      <x:c r="H1" s="5"/>
    </x:row>
    <x:row r="2" ht="24" customHeight="1">
      <x:c r="A2" s="8" t="str">
        <x:v>سجل أحجام العمل والعوائد اليومية الذي يغذي لوحة الإدارة</x:v>
      </x:c>
      <x:c r="B2" s="8"/>
      <x:c r="C2" s="8"/>
      <x:c r="D2" s="8"/>
      <x:c r="E2" s="8"/>
      <x:c r="F2" s="8"/>
      <x:c r="G2" s="8"/>
      <x:c r="H2" s="8"/>
    </x:row>
    <x:row r="3" ht="23" customHeight="1">
      <x:c r="A3" s="12" t="str">
        <x:v>الفترة: 1–31 آب 2026  |  المالك: الإدارة العليا – رئاسة القسم  |  الحالة: تقرير إدارة تجريبي قابل للتدقيق</x:v>
      </x:c>
      <x:c r="B3" s="12"/>
      <x:c r="C3" s="12"/>
      <x:c r="D3" s="12"/>
      <x:c r="E3" s="12"/>
      <x:c r="F3" s="12"/>
      <x:c r="G3" s="12"/>
      <x:c r="H3" s="12"/>
    </x:row>
    <x:row r="5" ht="28" customHeight="1">
      <x:c r="A5" s="24" t="str">
        <x:v>التاريخ</x:v>
      </x:c>
      <x:c r="B5" s="25" t="str">
        <x:v>عدد المرضى</x:v>
      </x:c>
      <x:c r="C5" s="25" t="str">
        <x:v>الاستشاريات</x:v>
      </x:c>
      <x:c r="D5" s="25" t="str">
        <x:v>الولادات</x:v>
      </x:c>
      <x:c r="E5" s="25" t="str">
        <x:v>القيصريات</x:v>
      </x:c>
      <x:c r="F5" s="25" t="str">
        <x:v>الرقود</x:v>
      </x:c>
      <x:c r="G5" s="25" t="str">
        <x:v>العوائد (د.ع)</x:v>
      </x:c>
      <x:c r="H5" s="26" t="str">
        <x:v>ملاحظة تشغيلية</x:v>
      </x:c>
    </x:row>
    <x:row r="6">
      <x:c r="A6" s="34" t="n">
        <x:v>46235</x:v>
      </x:c>
      <x:c r="B6" s="37" t="n">
        <x:v>26</x:v>
      </x:c>
      <x:c r="C6" s="37" t="n">
        <x:v>25</x:v>
      </x:c>
      <x:c r="D6" s="37" t="n">
        <x:v>4</x:v>
      </x:c>
      <x:c r="E6" s="37" t="n">
        <x:v>9</x:v>
      </x:c>
      <x:c r="F6" s="37" t="n">
        <x:v>6</x:v>
      </x:c>
      <x:c r="G6" s="40" t="n">
        <x:v>3900000</x:v>
      </x:c>
      <x:c r="H6" s="31" t="str">
        <x:v>تشغيل اعتيادي</x:v>
      </x:c>
    </x:row>
    <x:row r="7">
      <x:c r="A7" s="35" t="n">
        <x:v>46236</x:v>
      </x:c>
      <x:c r="B7" s="38" t="n">
        <x:v>31</x:v>
      </x:c>
      <x:c r="C7" s="38" t="n">
        <x:v>28</x:v>
      </x:c>
      <x:c r="D7" s="38" t="n">
        <x:v>6</x:v>
      </x:c>
      <x:c r="E7" s="38" t="n">
        <x:v>10</x:v>
      </x:c>
      <x:c r="F7" s="38" t="n">
        <x:v>7</x:v>
      </x:c>
      <x:c r="G7" s="41" t="n">
        <x:v>4200000</x:v>
      </x:c>
      <x:c r="H7" s="32" t="str">
        <x:v>ارتفاع الولادات</x:v>
      </x:c>
    </x:row>
    <x:row r="8">
      <x:c r="A8" s="35" t="n">
        <x:v>46237</x:v>
      </x:c>
      <x:c r="B8" s="38" t="n">
        <x:v>29</x:v>
      </x:c>
      <x:c r="C8" s="38" t="n">
        <x:v>26</x:v>
      </x:c>
      <x:c r="D8" s="38" t="n">
        <x:v>5</x:v>
      </x:c>
      <x:c r="E8" s="38" t="n">
        <x:v>8</x:v>
      </x:c>
      <x:c r="F8" s="38" t="n">
        <x:v>5</x:v>
      </x:c>
      <x:c r="G8" s="41" t="n">
        <x:v>4050000</x:v>
      </x:c>
      <x:c r="H8" s="32" t="str">
        <x:v>لا ملاحظات</x:v>
      </x:c>
    </x:row>
    <x:row r="9">
      <x:c r="A9" s="35" t="n">
        <x:v>46238</x:v>
      </x:c>
      <x:c r="B9" s="38" t="n">
        <x:v>35</x:v>
      </x:c>
      <x:c r="C9" s="38" t="n">
        <x:v>31</x:v>
      </x:c>
      <x:c r="D9" s="38" t="n">
        <x:v>7</x:v>
      </x:c>
      <x:c r="E9" s="38" t="n">
        <x:v>12</x:v>
      </x:c>
      <x:c r="F9" s="38" t="n">
        <x:v>8</x:v>
      </x:c>
      <x:c r="G9" s="41" t="n">
        <x:v>4800000</x:v>
      </x:c>
      <x:c r="H9" s="32" t="str">
        <x:v>أعلى ضغط يومي</x:v>
      </x:c>
    </x:row>
    <x:row r="10">
      <x:c r="A10" s="35" t="n">
        <x:v>46239</x:v>
      </x:c>
      <x:c r="B10" s="38" t="n">
        <x:v>27</x:v>
      </x:c>
      <x:c r="C10" s="38" t="n">
        <x:v>24</x:v>
      </x:c>
      <x:c r="D10" s="38" t="n">
        <x:v>4</x:v>
      </x:c>
      <x:c r="E10" s="38" t="n">
        <x:v>9</x:v>
      </x:c>
      <x:c r="F10" s="38" t="n">
        <x:v>6</x:v>
      </x:c>
      <x:c r="G10" s="41" t="n">
        <x:v>3750000</x:v>
      </x:c>
      <x:c r="H10" s="32" t="str">
        <x:v>تشغيل اعتيادي</x:v>
      </x:c>
    </x:row>
    <x:row r="11">
      <x:c r="A11" s="35" t="n">
        <x:v>46240</x:v>
      </x:c>
      <x:c r="B11" s="38" t="n">
        <x:v>34</x:v>
      </x:c>
      <x:c r="C11" s="38" t="n">
        <x:v>29</x:v>
      </x:c>
      <x:c r="D11" s="38" t="n">
        <x:v>5</x:v>
      </x:c>
      <x:c r="E11" s="38" t="n">
        <x:v>11</x:v>
      </x:c>
      <x:c r="F11" s="38" t="n">
        <x:v>7</x:v>
      </x:c>
      <x:c r="G11" s="41" t="n">
        <x:v>4500000</x:v>
      </x:c>
      <x:c r="H11" s="32" t="str">
        <x:v>زيادة القيصريات</x:v>
      </x:c>
    </x:row>
    <x:row r="12">
      <x:c r="A12" s="35" t="n">
        <x:v>46241</x:v>
      </x:c>
      <x:c r="B12" s="38" t="n">
        <x:v>32</x:v>
      </x:c>
      <x:c r="C12" s="38" t="n">
        <x:v>30</x:v>
      </x:c>
      <x:c r="D12" s="38" t="n">
        <x:v>6</x:v>
      </x:c>
      <x:c r="E12" s="38" t="n">
        <x:v>10</x:v>
      </x:c>
      <x:c r="F12" s="38" t="n">
        <x:v>7</x:v>
      </x:c>
      <x:c r="G12" s="41" t="n">
        <x:v>4650000</x:v>
      </x:c>
      <x:c r="H12" s="32" t="str">
        <x:v>تسليم مناوبة مكتمل</x:v>
      </x:c>
    </x:row>
    <x:row r="13">
      <x:c r="A13" s="35" t="n">
        <x:v>46242</x:v>
      </x:c>
      <x:c r="B13" s="38" t="n">
        <x:v>36</x:v>
      </x:c>
      <x:c r="C13" s="38" t="n">
        <x:v>32</x:v>
      </x:c>
      <x:c r="D13" s="38" t="n">
        <x:v>7</x:v>
      </x:c>
      <x:c r="E13" s="38" t="n">
        <x:v>13</x:v>
      </x:c>
      <x:c r="F13" s="38" t="n">
        <x:v>8</x:v>
      </x:c>
      <x:c r="G13" s="41" t="n">
        <x:v>5050000</x:v>
      </x:c>
      <x:c r="H13" s="32" t="str">
        <x:v>أعلى عائد يومي</x:v>
      </x:c>
    </x:row>
    <x:row r="14">
      <x:c r="A14" s="35" t="n">
        <x:v>46243</x:v>
      </x:c>
      <x:c r="B14" s="38" t="n">
        <x:v>30</x:v>
      </x:c>
      <x:c r="C14" s="38" t="n">
        <x:v>27</x:v>
      </x:c>
      <x:c r="D14" s="38" t="n">
        <x:v>5</x:v>
      </x:c>
      <x:c r="E14" s="38" t="n">
        <x:v>10</x:v>
      </x:c>
      <x:c r="F14" s="38" t="n">
        <x:v>6</x:v>
      </x:c>
      <x:c r="G14" s="41" t="n">
        <x:v>4400000</x:v>
      </x:c>
      <x:c r="H14" s="32" t="str">
        <x:v>تدقيق حالتي دفع</x:v>
      </x:c>
    </x:row>
    <x:row r="15">
      <x:c r="A15" s="35" t="n">
        <x:v>46244</x:v>
      </x:c>
      <x:c r="B15" s="38" t="n">
        <x:v>33</x:v>
      </x:c>
      <x:c r="C15" s="38" t="n">
        <x:v>26</x:v>
      </x:c>
      <x:c r="D15" s="38" t="n">
        <x:v>4</x:v>
      </x:c>
      <x:c r="E15" s="38" t="n">
        <x:v>9</x:v>
      </x:c>
      <x:c r="F15" s="38" t="n">
        <x:v>7</x:v>
      </x:c>
      <x:c r="G15" s="41" t="n">
        <x:v>4100000</x:v>
      </x:c>
      <x:c r="H15" s="32" t="str">
        <x:v>تشغيل اعتيادي</x:v>
      </x:c>
    </x:row>
    <x:row r="16">
      <x:c r="A16" s="36" t="n">
        <x:v>46245</x:v>
      </x:c>
      <x:c r="B16" s="39" t="n">
        <x:v>29</x:v>
      </x:c>
      <x:c r="C16" s="39" t="n">
        <x:v>25</x:v>
      </x:c>
      <x:c r="D16" s="39" t="n">
        <x:v>5</x:v>
      </x:c>
      <x:c r="E16" s="39" t="n">
        <x:v>11</x:v>
      </x:c>
      <x:c r="F16" s="39" t="n">
        <x:v>6</x:v>
      </x:c>
      <x:c r="G16" s="42" t="n">
        <x:v>5250000</x:v>
      </x:c>
      <x:c r="H16" s="33" t="str">
        <x:v>تحديث حتى وقت إنشاء التقرير</x:v>
      </x:c>
    </x:row>
    <x:row r="17">
      <x:c r="A17" s="45" t="str">
        <x:v>الإجمالي</x:v>
      </x:c>
      <x:c r="B17" s="45" t="n">
        <x:f>SUM(B6:B16)</x:f>
        <x:v>342</x:v>
      </x:c>
      <x:c r="C17" s="45" t="n">
        <x:f>SUM(C6:C16)</x:f>
        <x:v>303</x:v>
      </x:c>
      <x:c r="D17" s="45" t="n">
        <x:f>SUM(D6:D16)</x:f>
        <x:v>58</x:v>
      </x:c>
      <x:c r="E17" s="45" t="n">
        <x:f>SUM(E6:E16)</x:f>
        <x:v>112</x:v>
      </x:c>
      <x:c r="F17" s="45" t="n">
        <x:f>SUM(F6:F16)</x:f>
        <x:v>73</x:v>
      </x:c>
      <x:c r="G17" s="46" t="n">
        <x:f>SUM(G6:G16)</x:f>
        <x:v>48650000</x:v>
      </x:c>
      <x:c r="H17" s="45" t="str"/>
    </x:row>
  </x:sheetData>
  <x:mergeCells>
    <x:mergeCell ref="A1:H1"/>
    <x:mergeCell ref="A2:H2"/>
    <x:mergeCell ref="A3:H3"/>
  </x:mergeCells>
  <x:conditionalFormatting sqref="A5:H16">
    <x:cfRule type="expression" dxfId="0" priority="1">
      <x:formula>MOD(ROW(),2)=0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9" hidden="0" customWidth="1"/>
    <x:col min="9" max="9" width="14" hidden="0" customWidth="1"/>
  </x:cols>
  <x:sheetData>
    <x:row r="1" ht="36" customHeight="1">
      <x:c r="A1" s="5" t="str">
        <x:v>أداء الأطباء واستلام المرضى</x:v>
      </x:c>
      <x:c r="B1" s="5"/>
      <x:c r="C1" s="5"/>
      <x:c r="D1" s="5"/>
      <x:c r="E1" s="5"/>
      <x:c r="F1" s="5"/>
      <x:c r="G1" s="5"/>
      <x:c r="H1" s="5"/>
      <x:c r="I1" s="5"/>
    </x:row>
    <x:row r="2" ht="24" customHeight="1">
      <x:c r="A2" s="8" t="str">
        <x:v>ترتيب حجم المتابعة وتفصيل الاستحقاقات الطبية خلال آب 2026</x:v>
      </x:c>
      <x:c r="B2" s="8"/>
      <x:c r="C2" s="8"/>
      <x:c r="D2" s="8"/>
      <x:c r="E2" s="8"/>
      <x:c r="F2" s="8"/>
      <x:c r="G2" s="8"/>
      <x:c r="H2" s="8"/>
      <x:c r="I2" s="8"/>
    </x:row>
    <x:row r="3" ht="23" customHeight="1">
      <x:c r="A3" s="12" t="str">
        <x:v>الفترة: 1–31 آب 2026  |  المالك: الإدارة العليا – رئاسة القسم  |  الحالة: تقرير إدارة تجريبي قابل للتدقيق</x:v>
      </x:c>
      <x:c r="B3" s="12"/>
      <x:c r="C3" s="12"/>
      <x:c r="D3" s="12"/>
      <x:c r="E3" s="12"/>
      <x:c r="F3" s="12"/>
      <x:c r="G3" s="12"/>
      <x:c r="H3" s="12"/>
      <x:c r="I3" s="12"/>
    </x:row>
    <x:row r="5" ht="28" customHeight="1">
      <x:c r="A5" s="24" t="str">
        <x:v>الطبيب</x:v>
      </x:c>
      <x:c r="B5" s="25" t="str">
        <x:v>المرضى المستلمون</x:v>
      </x:c>
      <x:c r="C5" s="25" t="str">
        <x:v>الاستشاريات</x:v>
      </x:c>
      <x:c r="D5" s="25" t="str">
        <x:v>الولادات</x:v>
      </x:c>
      <x:c r="E5" s="25" t="str">
        <x:v>القيصريات</x:v>
      </x:c>
      <x:c r="F5" s="25" t="str">
        <x:v>الرقود</x:v>
      </x:c>
      <x:c r="G5" s="25" t="str">
        <x:v>أيام العمل</x:v>
      </x:c>
      <x:c r="H5" s="25" t="str">
        <x:v>الاستحقاق (د.ع)</x:v>
      </x:c>
      <x:c r="I5" s="26" t="str">
        <x:v>حصة الرواتب</x:v>
      </x:c>
    </x:row>
    <x:row r="6">
      <x:c r="A6" s="31" t="str">
        <x:v>د. أحمد البياتي</x:v>
      </x:c>
      <x:c r="B6" s="31" t="n">
        <x:v>54</x:v>
      </x:c>
      <x:c r="C6" s="31" t="n">
        <x:v>48</x:v>
      </x:c>
      <x:c r="D6" s="31" t="n">
        <x:v>9</x:v>
      </x:c>
      <x:c r="E6" s="31" t="n">
        <x:v>18</x:v>
      </x:c>
      <x:c r="F6" s="31" t="n">
        <x:v>12</x:v>
      </x:c>
      <x:c r="G6" s="31" t="n">
        <x:v>9</x:v>
      </x:c>
      <x:c r="H6" s="40" t="n">
        <x:v>2845000</x:v>
      </x:c>
      <x:c r="I6" s="47" t="n">
        <x:f>H6/$H$14</x:f>
        <x:v>0.15597587719298245</x:v>
      </x:c>
    </x:row>
    <x:row r="7">
      <x:c r="A7" s="32" t="str">
        <x:v>د. فنار</x:v>
      </x:c>
      <x:c r="B7" s="32" t="n">
        <x:v>48</x:v>
      </x:c>
      <x:c r="C7" s="32" t="n">
        <x:v>42</x:v>
      </x:c>
      <x:c r="D7" s="32" t="n">
        <x:v>8</x:v>
      </x:c>
      <x:c r="E7" s="32" t="n">
        <x:v>14</x:v>
      </x:c>
      <x:c r="F7" s="32" t="n">
        <x:v>10</x:v>
      </x:c>
      <x:c r="G7" s="32" t="n">
        <x:v>8</x:v>
      </x:c>
      <x:c r="H7" s="41" t="n">
        <x:v>2310000</x:v>
      </x:c>
      <x:c r="I7" s="48" t="n">
        <x:f>H7/$H$14</x:f>
        <x:v>0.12664473684210525</x:v>
      </x:c>
    </x:row>
    <x:row r="8">
      <x:c r="A8" s="32" t="str">
        <x:v>د. تبارك</x:v>
      </x:c>
      <x:c r="B8" s="32" t="n">
        <x:v>39</x:v>
      </x:c>
      <x:c r="C8" s="32" t="n">
        <x:v>36</x:v>
      </x:c>
      <x:c r="D8" s="32" t="n">
        <x:v>6</x:v>
      </x:c>
      <x:c r="E8" s="32" t="n">
        <x:v>11</x:v>
      </x:c>
      <x:c r="F8" s="32" t="n">
        <x:v>8</x:v>
      </x:c>
      <x:c r="G8" s="32" t="n">
        <x:v>7</x:v>
      </x:c>
      <x:c r="H8" s="41" t="n">
        <x:v>1980000</x:v>
      </x:c>
      <x:c r="I8" s="48" t="n">
        <x:f>H8/$H$14</x:f>
        <x:v>0.10855263157894737</x:v>
      </x:c>
    </x:row>
    <x:row r="9">
      <x:c r="A9" s="32" t="str">
        <x:v>د. شهد</x:v>
      </x:c>
      <x:c r="B9" s="32" t="n">
        <x:v>63</x:v>
      </x:c>
      <x:c r="C9" s="32" t="n">
        <x:v>52</x:v>
      </x:c>
      <x:c r="D9" s="32" t="n">
        <x:v>11</x:v>
      </x:c>
      <x:c r="E9" s="32" t="n">
        <x:v>16</x:v>
      </x:c>
      <x:c r="F9" s="32" t="n">
        <x:v>14</x:v>
      </x:c>
      <x:c r="G9" s="32" t="n">
        <x:v>10</x:v>
      </x:c>
      <x:c r="H9" s="41" t="n">
        <x:v>2640000</x:v>
      </x:c>
      <x:c r="I9" s="48" t="n">
        <x:f>H9/$H$14</x:f>
        <x:v>0.14473684210526316</x:v>
      </x:c>
    </x:row>
    <x:row r="10">
      <x:c r="A10" s="32" t="str">
        <x:v>د. سارة محمود</x:v>
      </x:c>
      <x:c r="B10" s="32" t="n">
        <x:v>42</x:v>
      </x:c>
      <x:c r="C10" s="32" t="n">
        <x:v>38</x:v>
      </x:c>
      <x:c r="D10" s="32" t="n">
        <x:v>7</x:v>
      </x:c>
      <x:c r="E10" s="32" t="n">
        <x:v>15</x:v>
      </x:c>
      <x:c r="F10" s="32" t="n">
        <x:v>9</x:v>
      </x:c>
      <x:c r="G10" s="32" t="n">
        <x:v>8</x:v>
      </x:c>
      <x:c r="H10" s="41" t="n">
        <x:v>2450000</x:v>
      </x:c>
      <x:c r="I10" s="48" t="n">
        <x:f>H10/$H$14</x:f>
        <x:v>0.13432017543859648</x:v>
      </x:c>
    </x:row>
    <x:row r="11">
      <x:c r="A11" s="32" t="str">
        <x:v>د. مريم حسن</x:v>
      </x:c>
      <x:c r="B11" s="32" t="n">
        <x:v>36</x:v>
      </x:c>
      <x:c r="C11" s="32" t="n">
        <x:v>34</x:v>
      </x:c>
      <x:c r="D11" s="32" t="n">
        <x:v>5</x:v>
      </x:c>
      <x:c r="E11" s="32" t="n">
        <x:v>12</x:v>
      </x:c>
      <x:c r="F11" s="32" t="n">
        <x:v>7</x:v>
      </x:c>
      <x:c r="G11" s="32" t="n">
        <x:v>7</x:v>
      </x:c>
      <x:c r="H11" s="41" t="n">
        <x:v>1900000</x:v>
      </x:c>
      <x:c r="I11" s="48" t="n">
        <x:f>H11/$H$14</x:f>
        <x:v>0.10416666666666667</x:v>
      </x:c>
    </x:row>
    <x:row r="12">
      <x:c r="A12" s="32" t="str">
        <x:v>د. يوسف كريم</x:v>
      </x:c>
      <x:c r="B12" s="32" t="n">
        <x:v>28</x:v>
      </x:c>
      <x:c r="C12" s="32" t="n">
        <x:v>28</x:v>
      </x:c>
      <x:c r="D12" s="32" t="n">
        <x:v>4</x:v>
      </x:c>
      <x:c r="E12" s="32" t="n">
        <x:v>10</x:v>
      </x:c>
      <x:c r="F12" s="32" t="n">
        <x:v>6</x:v>
      </x:c>
      <x:c r="G12" s="32" t="n">
        <x:v>6</x:v>
      </x:c>
      <x:c r="H12" s="41" t="n">
        <x:v>1620000</x:v>
      </x:c>
      <x:c r="I12" s="48" t="n">
        <x:f>H12/$H$14</x:f>
        <x:v>0.08881578947368421</x:v>
      </x:c>
    </x:row>
    <x:row r="13">
      <x:c r="A13" s="33" t="str">
        <x:v>د. ليلى قاسم</x:v>
      </x:c>
      <x:c r="B13" s="33" t="n">
        <x:v>32</x:v>
      </x:c>
      <x:c r="C13" s="33" t="n">
        <x:v>25</x:v>
      </x:c>
      <x:c r="D13" s="33" t="n">
        <x:v>8</x:v>
      </x:c>
      <x:c r="E13" s="33" t="n">
        <x:v>16</x:v>
      </x:c>
      <x:c r="F13" s="33" t="n">
        <x:v>7</x:v>
      </x:c>
      <x:c r="G13" s="33" t="n">
        <x:v>8</x:v>
      </x:c>
      <x:c r="H13" s="42" t="n">
        <x:v>2495000</x:v>
      </x:c>
      <x:c r="I13" s="49" t="n">
        <x:f>H13/$H$14</x:f>
        <x:v>0.1367872807017544</x:v>
      </x:c>
    </x:row>
    <x:row r="14">
      <x:c r="A14" s="45" t="str">
        <x:v>الإجمالي</x:v>
      </x:c>
      <x:c r="B14" s="45" t="n">
        <x:f>SUM(B6:B13)</x:f>
        <x:v>342</x:v>
      </x:c>
      <x:c r="C14" s="45" t="n">
        <x:f>SUM(C6:C13)</x:f>
        <x:v>303</x:v>
      </x:c>
      <x:c r="D14" s="45" t="n">
        <x:f>SUM(D6:D13)</x:f>
        <x:v>58</x:v>
      </x:c>
      <x:c r="E14" s="45" t="n">
        <x:f>SUM(E6:E13)</x:f>
        <x:v>112</x:v>
      </x:c>
      <x:c r="F14" s="45" t="n">
        <x:f>SUM(F6:F13)</x:f>
        <x:v>73</x:v>
      </x:c>
      <x:c r="G14" s="45" t="n">
        <x:f>SUM(G6:G13)</x:f>
        <x:v>63</x:v>
      </x:c>
      <x:c r="H14" s="46" t="n">
        <x:f>SUM(H6:H13)</x:f>
        <x:v>18240000</x:v>
      </x:c>
      <x:c r="I14" s="50" t="n">
        <x:f>SUM(I6:I13)</x:f>
        <x:v>0.9999999999999999</x:v>
      </x:c>
    </x:row>
  </x:sheetData>
  <x:mergeCells>
    <x:mergeCell ref="A1:I1"/>
    <x:mergeCell ref="A2:I2"/>
    <x:mergeCell ref="A3:I3"/>
  </x:mergeCells>
  <x:conditionalFormatting sqref="B6:B13">
    <x:cfRule type="dataBar" priority="1">
      <x:dataBar>
        <x:cfvo type="min"/>
        <x:cfvo type="max"/>
        <x:color rgb="FF78CDB0"/>
      </x:dataBar>
      <x:extLst>
        <x:ext xmlns:x14="http://schemas.microsoft.com/office/spreadsheetml/2009/9/main" uri="{B025F937-C7B1-47D3-B67F-A62EFF666E3E}">
          <x14:id>{83E4A537-5A13-2F34-28A9-24F21C47555C}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3E4A537-5A13-2F34-28A9-24F21C47555C}">
            <x14:dataBar gradient="1">
              <x14:cfvo type="min"/>
              <x14:cfvo type="max"/>
              <x14:fillColor rgb="FF78CDB0"/>
            </x14:dataBar>
          </x14:cfRule>
          <xm:sqref>B6:B13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6" hidden="0" customWidth="1"/>
    <x:col min="4" max="4" width="25" hidden="0" customWidth="1"/>
    <x:col min="5" max="5" width="19" hidden="0" customWidth="1"/>
    <x:col min="6" max="6" width="30" hidden="0" customWidth="1"/>
  </x:cols>
  <x:sheetData>
    <x:row r="1" ht="36" customHeight="1">
      <x:c r="A1" s="5" t="str">
        <x:v>التقرير المالي والمطابقات</x:v>
      </x:c>
      <x:c r="B1" s="5"/>
      <x:c r="C1" s="5"/>
      <x:c r="D1" s="5"/>
      <x:c r="E1" s="5"/>
      <x:c r="F1" s="5"/>
    </x:row>
    <x:row r="2" ht="24" customHeight="1">
      <x:c r="A2" s="8" t="str">
        <x:v>تفصيل العوائد والمصروفات والرواتب وحالات الدفع وضوابط سلامة التقرير</x:v>
      </x:c>
      <x:c r="B2" s="8"/>
      <x:c r="C2" s="8"/>
      <x:c r="D2" s="8"/>
      <x:c r="E2" s="8"/>
      <x:c r="F2" s="8"/>
    </x:row>
    <x:row r="3" ht="23" customHeight="1">
      <x:c r="A3" s="12" t="str">
        <x:v>الفترة: 1–31 آب 2026  |  المالك: الإدارة العليا – رئاسة القسم  |  الحالة: تقرير إدارة تجريبي قابل للتدقيق</x:v>
      </x:c>
      <x:c r="B3" s="12"/>
      <x:c r="C3" s="12"/>
      <x:c r="D3" s="12"/>
      <x:c r="E3" s="12"/>
      <x:c r="F3" s="12"/>
    </x:row>
    <x:row r="5">
      <x:c r="A5" s="52" t="str">
        <x:v>مصادر العوائد</x:v>
      </x:c>
      <x:c r="B5" s="52" t="str">
        <x:v>مصادر العوائد</x:v>
      </x:c>
      <x:c r="D5" s="52" t="str">
        <x:v>ملخص النتيجة المالية</x:v>
      </x:c>
      <x:c r="E5" s="52" t="str">
        <x:v>ملخص النتيجة المالية</x:v>
      </x:c>
      <x:c r="F5" s="52" t="str">
        <x:v>ملخص النتيجة المالية</x:v>
      </x:c>
    </x:row>
    <x:row r="6" ht="28" customHeight="1">
      <x:c r="A6" s="24" t="str">
        <x:v>البند</x:v>
      </x:c>
      <x:c r="B6" s="26" t="str">
        <x:v>القيمة (د.ع)</x:v>
      </x:c>
      <x:c r="D6" s="58" t="str">
        <x:v>إجمالي العوائد</x:v>
      </x:c>
      <x:c r="E6" s="68" t="n">
        <x:f>B12</x:f>
        <x:v>48650000</x:v>
      </x:c>
    </x:row>
    <x:row r="7">
      <x:c r="A7" s="31" t="str">
        <x:v>الاستشاريات</x:v>
      </x:c>
      <x:c r="B7" s="40" t="n">
        <x:v>15150000</x:v>
      </x:c>
      <x:c r="D7" s="59" t="str">
        <x:v>استحقاقات الأطباء</x:v>
      </x:c>
      <x:c r="E7" s="69" t="n">
        <x:f>'الأطباء'!H14</x:f>
        <x:v>18240000</x:v>
      </x:c>
    </x:row>
    <x:row r="8">
      <x:c r="A8" s="32" t="str">
        <x:v>القيصريات</x:v>
      </x:c>
      <x:c r="B8" s="41" t="n">
        <x:v>12600000</x:v>
      </x:c>
      <x:c r="D8" s="59" t="str">
        <x:v>المصروفات التشغيلية</x:v>
      </x:c>
      <x:c r="E8" s="69" t="n">
        <x:f>B22</x:f>
        <x:v>9730000</x:v>
      </x:c>
    </x:row>
    <x:row r="9">
      <x:c r="A9" s="32" t="str">
        <x:v>الولادات الطبيعية</x:v>
      </x:c>
      <x:c r="B9" s="41" t="n">
        <x:v>8400000</x:v>
      </x:c>
      <x:c r="D9" s="62" t="str">
        <x:v>صافي النتيجة</x:v>
      </x:c>
      <x:c r="E9" s="70" t="n">
        <x:f>E6-E7-E8</x:f>
        <x:v>20680000</x:v>
      </x:c>
    </x:row>
    <x:row r="10">
      <x:c r="A10" s="32" t="str">
        <x:v>الرقود</x:v>
      </x:c>
      <x:c r="B10" s="41" t="n">
        <x:v>7500000</x:v>
      </x:c>
      <x:c r="D10" s="60" t="str">
        <x:v>هامش صافي النتيجة</x:v>
      </x:c>
      <x:c r="E10" s="71" t="n">
        <x:f>IF(E6=0,0,E9/E6)</x:f>
        <x:v>0.4250770811921891</x:v>
      </x:c>
    </x:row>
    <x:row r="11">
      <x:c r="A11" s="33" t="str">
        <x:v>الحالات الخاصة</x:v>
      </x:c>
      <x:c r="B11" s="42" t="n">
        <x:v>5000000</x:v>
      </x:c>
    </x:row>
    <x:row r="12">
      <x:c r="A12" s="53" t="str">
        <x:v>إجمالي العوائد</x:v>
      </x:c>
      <x:c r="B12" s="63" t="n">
        <x:f>SUM(B7:B11)</x:f>
        <x:v>48650000</x:v>
      </x:c>
      <x:c r="D12" s="52" t="str">
        <x:v>ضوابط ومطابقات التقرير</x:v>
      </x:c>
      <x:c r="E12" s="52" t="str">
        <x:v>ضوابط ومطابقات التقرير</x:v>
      </x:c>
      <x:c r="F12" s="52" t="str">
        <x:v>ضوابط ومطابقات التقرير</x:v>
      </x:c>
    </x:row>
    <x:row r="13" ht="28" customHeight="1">
      <x:c r="B13" s="64"/>
      <x:c r="D13" s="24" t="str">
        <x:v>الفحص</x:v>
      </x:c>
      <x:c r="E13" s="25" t="str">
        <x:v>الفرق</x:v>
      </x:c>
      <x:c r="F13" s="26" t="str">
        <x:v>النتيجة</x:v>
      </x:c>
    </x:row>
    <x:row r="14">
      <x:c r="A14" s="52" t="str">
        <x:v>المصروفات التشغيلية</x:v>
      </x:c>
      <x:c r="B14" s="65" t="str">
        <x:v>المصروفات التشغيلية</x:v>
      </x:c>
      <x:c r="D14" s="31" t="str">
        <x:v>إجمالي المرضى</x:v>
      </x:c>
      <x:c r="E14" s="37" t="n">
        <x:f>'التشغيل اليومي'!B17-'الأطباء'!B14</x:f>
        <x:v>0</x:v>
      </x:c>
      <x:c r="F14" s="31" t="str">
        <x:f>IF(E14=0,"PASS","FAIL")</x:f>
        <x:v>PASS</x:v>
      </x:c>
    </x:row>
    <x:row r="15" ht="28" customHeight="1">
      <x:c r="A15" s="24" t="str">
        <x:v>البند</x:v>
      </x:c>
      <x:c r="B15" s="66" t="str">
        <x:v>القيمة (د.ع)</x:v>
      </x:c>
      <x:c r="D15" s="32" t="str">
        <x:v>إجمالي الإجراءات</x:v>
      </x:c>
      <x:c r="E15" s="38" t="n">
        <x:f>SUM('التشغيل اليومي'!C17,'التشغيل اليومي'!E17,'التشغيل اليومي'!F17)-SUM('الأطباء'!C14,'الأطباء'!E14,'الأطباء'!F14)</x:f>
        <x:v>0</x:v>
      </x:c>
      <x:c r="F15" s="32" t="str">
        <x:f>IF(E15=0,"PASS","FAIL")</x:f>
        <x:v>PASS</x:v>
      </x:c>
    </x:row>
    <x:row r="16">
      <x:c r="A16" s="31" t="str">
        <x:v>أدوية ومستلزمات</x:v>
      </x:c>
      <x:c r="B16" s="40" t="n">
        <x:v>3000000</x:v>
      </x:c>
      <x:c r="D16" s="32" t="str">
        <x:v>إجمالي العوائد</x:v>
      </x:c>
      <x:c r="E16" s="38" t="n">
        <x:f>'التشغيل اليومي'!G17-B12</x:f>
        <x:v>0</x:v>
      </x:c>
      <x:c r="F16" s="32" t="str">
        <x:f>IF(E16=0,"PASS","FAIL")</x:f>
        <x:v>PASS</x:v>
      </x:c>
    </x:row>
    <x:row r="17">
      <x:c r="A17" s="32" t="str">
        <x:v>مستلزمات العمليات</x:v>
      </x:c>
      <x:c r="B17" s="41" t="n">
        <x:v>2150000</x:v>
      </x:c>
      <x:c r="D17" s="33" t="str">
        <x:v>إجمالي الرواتب</x:v>
      </x:c>
      <x:c r="E17" s="39" t="n">
        <x:f>'الأطباء'!H14-E7</x:f>
        <x:v>0</x:v>
      </x:c>
      <x:c r="F17" s="33" t="str">
        <x:f>IF(E17=0,"PASS","FAIL")</x:f>
        <x:v>PASS</x:v>
      </x:c>
    </x:row>
    <x:row r="18">
      <x:c r="A18" s="32" t="str">
        <x:v>خدمات ومرافق</x:v>
      </x:c>
      <x:c r="B18" s="41" t="n">
        <x:v>1480000</x:v>
      </x:c>
    </x:row>
    <x:row r="19">
      <x:c r="A19" s="32" t="str">
        <x:v>إدارية</x:v>
      </x:c>
      <x:c r="B19" s="41" t="n">
        <x:v>1100000</x:v>
      </x:c>
      <x:c r="D19" s="73" t="str">
        <x:v>MODEL STATUS</x:v>
      </x:c>
      <x:c r="E19" s="73" t="str">
        <x:f>IF(AND(F14="PASS",F15="PASS",F16="PASS",F17="PASS"),"PASS","FAIL")</x:f>
        <x:v>PASS</x:v>
      </x:c>
    </x:row>
    <x:row r="20">
      <x:c r="A20" s="32" t="str">
        <x:v>صيانة</x:v>
      </x:c>
      <x:c r="B20" s="41" t="n">
        <x:v>1250000</x:v>
      </x:c>
    </x:row>
    <x:row r="21">
      <x:c r="A21" s="33" t="str">
        <x:v>أخرى</x:v>
      </x:c>
      <x:c r="B21" s="42" t="n">
        <x:v>750000</x:v>
      </x:c>
    </x:row>
    <x:row r="22">
      <x:c r="A22" s="55" t="str">
        <x:v>إجمالي المصروفات</x:v>
      </x:c>
      <x:c r="B22" s="67" t="n">
        <x:f>SUM(B16:B21)</x:f>
        <x:v>9730000</x:v>
      </x:c>
    </x:row>
    <x:row r="25">
      <x:c r="A25" s="52" t="str">
        <x:v>حالات الدفع التي تحتاج متابعة</x:v>
      </x:c>
      <x:c r="B25" s="52" t="str">
        <x:v>حالات الدفع التي تحتاج متابعة</x:v>
      </x:c>
      <x:c r="C25" s="52" t="str">
        <x:v>حالات الدفع التي تحتاج متابعة</x:v>
      </x:c>
      <x:c r="D25" s="52" t="str">
        <x:v>حالات الدفع التي تحتاج متابعة</x:v>
      </x:c>
      <x:c r="E25" s="52" t="str">
        <x:v>حالات الدفع التي تحتاج متابعة</x:v>
      </x:c>
      <x:c r="F25" s="52" t="str">
        <x:v>حالات الدفع التي تحتاج متابعة</x:v>
      </x:c>
    </x:row>
    <x:row r="26" ht="28" customHeight="1">
      <x:c r="A26" s="24" t="str">
        <x:v>المريضة</x:v>
      </x:c>
      <x:c r="B26" s="25" t="str">
        <x:v>رقم الملف</x:v>
      </x:c>
      <x:c r="C26" s="25" t="str">
        <x:v>الحالة</x:v>
      </x:c>
      <x:c r="D26" s="25" t="str">
        <x:v>أيام الرقود</x:v>
      </x:c>
      <x:c r="E26" s="25" t="str">
        <x:v>القيمة (د.ع)</x:v>
      </x:c>
      <x:c r="F26" s="26" t="str">
        <x:v>الأثر</x:v>
      </x:c>
    </x:row>
    <x:row r="27">
      <x:c r="A27" s="31" t="str">
        <x:v>زينب علي</x:v>
      </x:c>
      <x:c r="B27" s="31" t="str">
        <x:v>P-1048</x:v>
      </x:c>
      <x:c r="C27" s="31" t="str">
        <x:v>مدفوع</x:v>
      </x:c>
      <x:c r="D27" s="31" t="n">
        <x:v>3</x:v>
      </x:c>
      <x:c r="E27" s="40" t="n">
        <x:v>60000</x:v>
      </x:c>
      <x:c r="F27" s="31" t="str">
        <x:v>موزع على حساب الأطباء</x:v>
      </x:c>
    </x:row>
    <x:row r="28">
      <x:c r="A28" s="32" t="str">
        <x:v>هدى فاضل</x:v>
      </x:c>
      <x:c r="B28" s="32" t="str">
        <x:v>P-1045</x:v>
      </x:c>
      <x:c r="C28" s="32" t="str">
        <x:v>مجاني</x:v>
      </x:c>
      <x:c r="D28" s="32" t="n">
        <x:v>2</x:v>
      </x:c>
      <x:c r="E28" s="41" t="n">
        <x:v>0</x:v>
      </x:c>
      <x:c r="F28" s="32" t="str">
        <x:v>لا أثر مالي</x:v>
      </x:c>
    </x:row>
    <x:row r="29">
      <x:c r="A29" s="32" t="str">
        <x:v>نور جاسم</x:v>
      </x:c>
      <x:c r="B29" s="32" t="str">
        <x:v>P-1039</x:v>
      </x:c>
      <x:c r="C29" s="32" t="str">
        <x:v>مدفوع</x:v>
      </x:c>
      <x:c r="D29" s="32" t="n">
        <x:v>4</x:v>
      </x:c>
      <x:c r="E29" s="41" t="n">
        <x:v>120000</x:v>
      </x:c>
      <x:c r="F29" s="32" t="str">
        <x:v>أعيد الاحتساب</x:v>
      </x:c>
    </x:row>
    <x:row r="30">
      <x:c r="A30" s="33" t="str">
        <x:v>رنا كامل</x:v>
      </x:c>
      <x:c r="B30" s="33" t="str">
        <x:v>P-1032</x:v>
      </x:c>
      <x:c r="C30" s="33" t="str">
        <x:v>معلق</x:v>
      </x:c>
      <x:c r="D30" s="33" t="n">
        <x:v>3</x:v>
      </x:c>
      <x:c r="E30" s="42" t="n">
        <x:v>90000</x:v>
      </x:c>
      <x:c r="F30" s="33" t="str">
        <x:v>يؤخر توزيع أجور الرقود</x:v>
      </x:c>
    </x:row>
    <x:row r="32" ht="30" customHeight="1">
      <x:c r="A32" s="76" t="str">
        <x:v>المصدر: لوحة الإدارة في نظام البياتي وبيانات المعاينة المعروضة لشهر آب 2026. لا تتضمن هذه النسخة بيانات مرضى سريرية حساسة.</x:v>
      </x:c>
      <x:c r="B32" s="76"/>
      <x:c r="C32" s="76"/>
      <x:c r="D32" s="76"/>
      <x:c r="E32" s="76"/>
      <x:c r="F32" s="76"/>
    </x:row>
  </x:sheetData>
  <x:mergeCells>
    <x:mergeCell ref="A1:F1"/>
    <x:mergeCell ref="A2:F2"/>
    <x:mergeCell ref="A3:F3"/>
    <x:mergeCell ref="A5:B5"/>
    <x:mergeCell ref="A14:B14"/>
    <x:mergeCell ref="D5:F5"/>
    <x:mergeCell ref="D12:F12"/>
    <x:mergeCell ref="A25:F25"/>
    <x:mergeCell ref="A32:F32"/>
  </x:mergeCells>
  <x:conditionalFormatting sqref="F14:F17">
    <x:cfRule type="containsText" dxfId="1" priority="1" operator="containsText" text="PASS"/>
    <x:cfRule type="containsText" dxfId="2" priority="2" operator="containsText" text="FAIL"/>
  </x:conditionalFormatting>
  <x:conditionalFormatting sqref="C27:C30">
    <x:cfRule type="containsText" dxfId="3" priority="3" operator="containsText" text="مدفوع"/>
    <x:cfRule type="containsText" dxfId="4" priority="4" operator="containsText" text="معلق"/>
  </x:conditionalFormatting>
  <x:pageMargins left="0.7" right="0.7" top="0.75" bottom="0.75" header="0.3" footer="0.3"/>
  <x:legacyDrawing xmlns:r="http://schemas.openxmlformats.org/officeDocument/2006/relationships" r:id="Rf82d63f411944538"/>
</x:worksheet>
</file>